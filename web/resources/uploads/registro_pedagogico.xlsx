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. Ped." sheetId="1" state="visible" r:id="rId3"/>
  </sheets>
  <definedNames>
    <definedName function="false" hidden="false" localSheetId="0" name="_xlnm.Print_Titles" vbProcedure="false">'Reg. Ped.'!$1:$9</definedName>
    <definedName function="false" hidden="false" name="CARRERA" vbProcedure="false">#REF!</definedName>
    <definedName function="false" hidden="false" name="CUARTO" vbProcedure="false">#REF!</definedName>
    <definedName function="false" hidden="false" name="ECA_CODIGO_200" vbProcedure="false">#REF!</definedName>
    <definedName function="false" hidden="false" name="ECA_DOCENTES" vbProcedure="false">#REF!</definedName>
    <definedName function="false" hidden="false" name="ECA_MATERIAS_200" vbProcedure="false">#REF!</definedName>
    <definedName function="false" hidden="false" name="ELE_CODIGO_200" vbProcedure="false">#REF!</definedName>
    <definedName function="false" hidden="false" name="ELE_DOCENTES" vbProcedure="false">#REF!</definedName>
    <definedName function="false" hidden="false" name="ELE_MATERIAS_200" vbProcedure="false">#REF!</definedName>
    <definedName function="false" hidden="false" name="MEA_CODIGO_200" vbProcedure="false">#REF!</definedName>
    <definedName function="false" hidden="false" name="MEA_CODIGO_200_1" vbProcedure="false">#REF!</definedName>
    <definedName function="false" hidden="false" name="MEA_DOCENTES" vbProcedure="false">#REF!</definedName>
    <definedName function="false" hidden="false" name="MEA_MATERIAS_200" vbProcedure="false">#REF!</definedName>
    <definedName function="false" hidden="false" name="MEICOD_200" vbProcedure="false">#REF!</definedName>
    <definedName function="false" hidden="false" name="MEI_2" vbProcedure="false">#REF!</definedName>
    <definedName function="false" hidden="false" name="MEI_200" vbProcedure="false">#REF!</definedName>
    <definedName function="false" hidden="false" name="PRIMERO" vbProcedure="false">#REF!</definedName>
    <definedName function="false" hidden="false" name="PRIMERO_1" vbProcedure="false">#REF!</definedName>
    <definedName function="false" hidden="false" name="QUINTO" vbProcedure="false">#REF!</definedName>
    <definedName function="false" hidden="false" name="SEGUNDO" vbProcedure="false">#REF!</definedName>
    <definedName function="false" hidden="false" name="SEMESTRE" vbProcedure="false">#REF!</definedName>
    <definedName function="false" hidden="false" name="SEXTO" vbProcedure="false">#REF!</definedName>
    <definedName function="false" hidden="false" name="TERCERO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<sst xmlns="http://schemas.openxmlformats.org/spreadsheetml/2006/main" count="35" uniqueCount="33">
  <si>
    <t xml:space="preserve">&lt;&lt;INSTITUTO&gt;&gt;</t>
  </si>
  <si>
    <t xml:space="preserve">REGISTRO PEDAGÓGICO</t>
  </si>
  <si>
    <t xml:space="preserve">CARRERA:
&lt;&lt;CARRERA&gt;&gt;</t>
  </si>
  <si>
    <t xml:space="preserve">ASIGNATURA:</t>
  </si>
  <si>
    <t xml:space="preserve">&lt;&lt;MODULO&gt;&gt;</t>
  </si>
  <si>
    <t xml:space="preserve">CODIGO:</t>
  </si>
  <si>
    <t xml:space="preserve">&lt;&lt;COD_MAT&gt;&gt;</t>
  </si>
  <si>
    <t xml:space="preserve">OBSERVACIÓN </t>
  </si>
  <si>
    <t xml:space="preserve">SEMESTRE:</t>
  </si>
  <si>
    <t xml:space="preserve">&lt;&lt;NIVEL&gt;&gt;</t>
  </si>
  <si>
    <t xml:space="preserve">PERIODO:</t>
  </si>
  <si>
    <t xml:space="preserve"> &lt;&lt;GA&gt;&gt;</t>
  </si>
  <si>
    <t xml:space="preserve">DOCENTE:</t>
  </si>
  <si>
    <t xml:space="preserve">&lt;&lt;DOCENTE&gt;&gt;</t>
  </si>
  <si>
    <t xml:space="preserve">PARALELO:</t>
  </si>
  <si>
    <t xml:space="preserve">&lt;&lt;GRUPO&gt;&gt;</t>
  </si>
  <si>
    <t xml:space="preserve">Nro</t>
  </si>
  <si>
    <t xml:space="preserve">APELLIDOS Y NOMBRES</t>
  </si>
  <si>
    <t xml:space="preserve">CODIGO</t>
  </si>
  <si>
    <t xml:space="preserve">ASISTENCIA DE ESTUDIANTES  </t>
  </si>
  <si>
    <t xml:space="preserve">ASISTENCIA                   </t>
  </si>
  <si>
    <t xml:space="preserve">PORCENTAJE DE ASISTENCIA</t>
  </si>
  <si>
    <t xml:space="preserve">TEORIA</t>
  </si>
  <si>
    <t xml:space="preserve">PRACTICA</t>
  </si>
  <si>
    <t xml:space="preserve">&lt;&lt;PARCIAL&gt;&gt;</t>
  </si>
  <si>
    <t xml:space="preserve">TEORÍA (30%)</t>
  </si>
  <si>
    <t xml:space="preserve">PRÁCTICA (70%)</t>
  </si>
  <si>
    <t xml:space="preserve">PRUEBA DE NIVELACIÓN</t>
  </si>
  <si>
    <t xml:space="preserve">&lt;&lt;ESTUDIANTE&gt;&gt;</t>
  </si>
  <si>
    <t xml:space="preserve">F</t>
  </si>
  <si>
    <t xml:space="preserve">FECHA  DE ENTREGA</t>
  </si>
  <si>
    <t xml:space="preserve">NOMBRE DEL DOCENTE</t>
  </si>
  <si>
    <t xml:space="preserve">FIRMA DEL DOCENTE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</si>
</sst>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0%"/>
    <numFmt numFmtId="167" formatCode="0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10"/>
      <color theme="1"/>
      <name val="Calibri"/>
      <family val="2"/>
      <charset val="1"/>
    </font>
    <font>
      <b val="true"/>
      <sz val="11"/>
      <name val="Arial"/>
      <family val="2"/>
      <charset val="1"/>
    </font>
    <font>
      <b val="true"/>
      <sz val="1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9"/>
      <color theme="1"/>
      <name val="Calibri"/>
      <family val="2"/>
      <charset val="1"/>
    </font>
    <font>
      <sz val="11"/>
      <name val="Calibria"/>
      <family val="0"/>
      <charset val="1"/>
    </font>
    <font>
      <sz val="11"/>
      <name val="Cambria"/>
      <family val="1"/>
      <charset val="1"/>
    </font>
    <font>
      <sz val="8"/>
      <name val="Calibri"/>
      <family val="2"/>
      <charset val="1"/>
    </font>
    <font>
      <b val="true"/>
      <sz val="8"/>
      <name val="Calibri"/>
      <family val="2"/>
      <charset val="1"/>
    </font>
    <font>
      <sz val="11"/>
      <name val="Calibri"/>
      <family val="2"/>
      <charset val="1"/>
    </font>
    <font>
      <sz val="8"/>
      <color theme="1"/>
      <name val="Calibri"/>
      <family val="2"/>
      <charset val="1"/>
    </font>
    <font>
      <b val="true"/>
      <sz val="10"/>
      <name val="Arial"/>
      <family val="2"/>
      <charset val="1"/>
    </font>
    <font>
      <sz val="9"/>
      <name val="Arial"/>
      <family val="2"/>
      <charset val="1"/>
    </font>
    <font>
      <b val="true"/>
      <sz val="9"/>
      <name val="Arial"/>
      <family val="2"/>
      <charset val="1"/>
    </font>
    <font>
      <sz val="12"/>
      <color theme="1"/>
      <name val="Calibri"/>
      <family val="2"/>
      <charset val="1"/>
    </font>
    <font>
      <sz val="8"/>
      <name val="Arial"/>
      <family val="2"/>
      <charset val="1"/>
    </font>
    <font>
      <b val="true"/>
      <sz val="8"/>
      <color theme="1"/>
      <name val="Calibri"/>
      <family val="2"/>
      <charset val="1"/>
    </font>
    <font>
      <sz val="9"/>
      <name val="Calibri"/>
      <family val="2"/>
      <charset val="1"/>
    </font>
    <font>
      <sz val="9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sz val="12"/>
      <name val="Calibri"/>
      <family val="2"/>
      <charset val="1"/>
    </font>
    <font>
      <sz val="10"/>
      <name val="Calibri"/>
      <family val="2"/>
      <charset val="1"/>
    </font>
    <font>
      <b val="true"/>
      <sz val="14"/>
      <color theme="1"/>
      <name val="Arial Rounded MT Bold"/>
      <family val="2"/>
      <charset val="1"/>
    </font>
    <font>
      <sz val="9"/>
      <name val="Cambria"/>
      <family val="2"/>
      <charset val="1"/>
    </font>
    <font>
      <sz val="8"/>
      <name val="Cambria"/>
      <family val="1"/>
      <charset val="1"/>
    </font>
    <font>
      <b val="true"/>
      <sz val="8"/>
      <color theme="1"/>
      <name val="Cambria"/>
      <family val="1"/>
      <charset val="1"/>
    </font>
    <font>
      <sz val="8"/>
      <color theme="1"/>
      <name val="Cambria"/>
      <family val="1"/>
      <charset val="1"/>
    </font>
    <font>
      <sz val="11"/>
      <color rgb="FFFF0000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theme="2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theme="4" tint="0.7999"/>
        <bgColor rgb="FFDBEEF4"/>
      </patternFill>
    </fill>
    <fill>
      <patternFill patternType="solid">
        <fgColor theme="0" tint="-0.05"/>
        <bgColor rgb="FFEEECE1"/>
      </patternFill>
    </fill>
    <fill>
      <patternFill patternType="solid">
        <fgColor theme="9" tint="0.7999"/>
        <bgColor rgb="FFEEECE1"/>
      </patternFill>
    </fill>
    <fill>
      <patternFill patternType="solid">
        <fgColor theme="8" tint="0.7999"/>
        <bgColor rgb="FFDCE6F2"/>
      </patternFill>
    </fill>
    <fill>
      <patternFill patternType="solid">
        <fgColor rgb="FFFFFF66"/>
        <bgColor rgb="FFFFFF00"/>
      </patternFill>
    </fill>
    <fill>
      <patternFill patternType="solid">
        <fgColor theme="7" tint="0.5999"/>
        <bgColor rgb="FFD9D9D9"/>
      </patternFill>
    </fill>
    <fill>
      <patternFill patternType="solid">
        <fgColor theme="3" tint="0.7999"/>
        <bgColor rgb="FFD9D9D9"/>
      </patternFill>
    </fill>
    <fill>
      <patternFill patternType="solid">
        <fgColor theme="0" tint="-0.15"/>
        <bgColor rgb="FFDCE6F2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 style="dotted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9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3" borderId="2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6" fillId="4" borderId="3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6" fillId="3" borderId="1" xfId="0" applyFont="true" applyBorder="true" applyAlignment="true" applyProtection="true">
      <alignment horizontal="right" vertical="top" textRotation="0" wrapText="false" indent="0" shrinkToFit="false"/>
      <protection locked="false" hidden="false"/>
    </xf>
    <xf numFmtId="164" fontId="6" fillId="4" borderId="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" fillId="0" borderId="1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4" fontId="6" fillId="3" borderId="1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6" fillId="3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7" fillId="4" borderId="3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8" fillId="5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5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9" fillId="5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5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5" borderId="5" xfId="0" applyFont="true" applyBorder="true" applyAlignment="true" applyProtection="true">
      <alignment horizontal="center" vertical="center" textRotation="90" wrapText="true" indent="0" shrinkToFit="false"/>
      <protection locked="false" hidden="false"/>
    </xf>
    <xf numFmtId="164" fontId="11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" fillId="5" borderId="1" xfId="0" applyFont="true" applyBorder="true" applyAlignment="true" applyProtection="true">
      <alignment horizontal="center" vertical="center" textRotation="90" wrapText="true" indent="0" shrinkToFit="false"/>
      <protection locked="false" hidden="false"/>
    </xf>
    <xf numFmtId="164" fontId="6" fillId="5" borderId="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6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3" fillId="8" borderId="8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5" fontId="13" fillId="8" borderId="1" xfId="0" applyFont="true" applyBorder="true" applyAlignment="true" applyProtection="true">
      <alignment horizontal="center" vertical="center" textRotation="90" wrapText="false" indent="0" shrinkToFit="false"/>
      <protection locked="false" hidden="false"/>
    </xf>
    <xf numFmtId="165" fontId="14" fillId="8" borderId="1" xfId="0" applyFont="true" applyBorder="true" applyAlignment="true" applyProtection="true">
      <alignment horizontal="center" vertical="center" textRotation="90" wrapText="false" indent="0" shrinkToFit="false"/>
      <protection locked="false" hidden="false"/>
    </xf>
    <xf numFmtId="164" fontId="15" fillId="6" borderId="5" xfId="0" applyFont="true" applyBorder="true" applyAlignment="true" applyProtection="true">
      <alignment horizontal="center" vertical="bottom" textRotation="90" wrapText="true" indent="0" shrinkToFit="false"/>
      <protection locked="false" hidden="false"/>
    </xf>
    <xf numFmtId="164" fontId="15" fillId="7" borderId="5" xfId="0" applyFont="true" applyBorder="true" applyAlignment="true" applyProtection="true">
      <alignment horizontal="center" vertical="bottom" textRotation="90" wrapText="true" indent="0" shrinkToFit="false"/>
      <protection locked="false" hidden="false"/>
    </xf>
    <xf numFmtId="164" fontId="16" fillId="9" borderId="5" xfId="0" applyFont="true" applyBorder="true" applyAlignment="true" applyProtection="true">
      <alignment horizontal="center" vertical="center" textRotation="90" wrapText="true" indent="0" shrinkToFit="false"/>
      <protection locked="fals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3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0" fillId="8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7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center" vertical="bottom" textRotation="0" wrapText="true" indent="0" shrinkToFit="false"/>
      <protection locked="false" hidden="false"/>
    </xf>
    <xf numFmtId="166" fontId="0" fillId="0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8" fillId="0" borderId="0" xfId="0" applyFont="true" applyBorder="false" applyAlignment="true" applyProtection="true">
      <alignment horizontal="center" vertical="bottom" textRotation="0" wrapText="true" indent="0" shrinkToFit="false"/>
      <protection locked="false" hidden="false"/>
    </xf>
    <xf numFmtId="164" fontId="18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7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5" fontId="0" fillId="10" borderId="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0" fillId="10" borderId="0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10" borderId="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10" borderId="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19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20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21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9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6" fillId="3" borderId="0" xfId="0" applyFont="true" applyBorder="false" applyAlignment="true" applyProtection="true">
      <alignment horizontal="left" vertical="top" textRotation="0" wrapText="false" indent="0" shrinkToFit="false"/>
      <protection locked="false" hidden="false"/>
    </xf>
    <xf numFmtId="164" fontId="22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6" fillId="3" borderId="0" xfId="0" applyFont="true" applyBorder="false" applyAlignment="true" applyProtection="true">
      <alignment horizontal="center" vertical="top" textRotation="0" wrapText="false" indent="0" shrinkToFit="false"/>
      <protection locked="false" hidden="false"/>
    </xf>
    <xf numFmtId="164" fontId="6" fillId="0" borderId="0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4" fontId="6" fillId="3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7" fillId="3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8" fillId="3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3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9" fillId="3" borderId="0" xfId="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4" fontId="11" fillId="3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3" borderId="0" xfId="0" applyFont="true" applyBorder="true" applyAlignment="true" applyProtection="true">
      <alignment horizontal="center" vertical="center" textRotation="90" wrapText="true" indent="0" shrinkToFit="false"/>
      <protection locked="false" hidden="false"/>
    </xf>
    <xf numFmtId="164" fontId="12" fillId="3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" fillId="3" borderId="0" xfId="0" applyFont="true" applyBorder="true" applyAlignment="true" applyProtection="true">
      <alignment horizontal="center" vertical="center" textRotation="90" wrapText="true" indent="0" shrinkToFit="false"/>
      <protection locked="false" hidden="false"/>
    </xf>
    <xf numFmtId="164" fontId="23" fillId="3" borderId="0" xfId="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5" fontId="15" fillId="3" borderId="0" xfId="0" applyFont="true" applyBorder="false" applyAlignment="true" applyProtection="true">
      <alignment horizontal="center" vertical="center" textRotation="90" wrapText="false" indent="0" shrinkToFit="false"/>
      <protection locked="false" hidden="false"/>
    </xf>
    <xf numFmtId="164" fontId="24" fillId="3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6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2" fillId="3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8" fillId="3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5" fillId="3" borderId="0" xfId="0" applyFont="true" applyBorder="true" applyAlignment="true" applyProtection="true">
      <alignment horizontal="center" vertical="bottom" textRotation="90" wrapText="true" indent="0" shrinkToFit="false"/>
      <protection locked="false" hidden="false"/>
    </xf>
    <xf numFmtId="164" fontId="25" fillId="3" borderId="0" xfId="0" applyFont="true" applyBorder="false" applyAlignment="true" applyProtection="true">
      <alignment horizontal="center" vertical="bottom" textRotation="90" wrapText="true" indent="0" shrinkToFit="false"/>
      <protection locked="false" hidden="false"/>
    </xf>
    <xf numFmtId="164" fontId="26" fillId="3" borderId="0" xfId="0" applyFont="true" applyBorder="true" applyAlignment="true" applyProtection="true">
      <alignment horizontal="center" vertical="bottom" textRotation="90" wrapText="false" indent="0" shrinkToFit="false"/>
      <protection locked="false" hidden="false"/>
    </xf>
    <xf numFmtId="164" fontId="0" fillId="3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7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8" fillId="3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28" fillId="3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27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7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27" fillId="3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7" fillId="3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29" fillId="3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27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7" fillId="3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7" fillId="3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3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8" fillId="3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0" fillId="3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7" fontId="10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29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8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30" fillId="0" borderId="1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0" fillId="0" borderId="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" fillId="0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3" borderId="11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6" fillId="3" borderId="3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0" fillId="3" borderId="3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1" fillId="3" borderId="3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4" fontId="11" fillId="3" borderId="11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4" fontId="11" fillId="0" borderId="2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4" fontId="6" fillId="3" borderId="3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1" fillId="3" borderId="0" xfId="0" applyFont="true" applyBorder="false" applyAlignment="true" applyProtection="true">
      <alignment horizontal="center" vertical="top" textRotation="0" wrapText="false" indent="0" shrinkToFit="false"/>
      <protection locked="false" hidden="false"/>
    </xf>
    <xf numFmtId="164" fontId="7" fillId="3" borderId="3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1" fillId="3" borderId="9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4" fontId="8" fillId="11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11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9" fillId="11" borderId="1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11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11" borderId="5" xfId="0" applyFont="true" applyBorder="true" applyAlignment="true" applyProtection="true">
      <alignment horizontal="center" vertical="center" textRotation="90" wrapText="true" indent="0" shrinkToFit="false"/>
      <protection locked="false" hidden="false"/>
    </xf>
    <xf numFmtId="164" fontId="11" fillId="11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" fillId="11" borderId="1" xfId="0" applyFont="true" applyBorder="true" applyAlignment="true" applyProtection="true">
      <alignment horizontal="center" vertical="center" textRotation="90" wrapText="true" indent="0" shrinkToFit="false"/>
      <protection locked="false" hidden="false"/>
    </xf>
    <xf numFmtId="164" fontId="9" fillId="11" borderId="1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3" fillId="3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15" fillId="3" borderId="1" xfId="0" applyFont="true" applyBorder="true" applyAlignment="true" applyProtection="true">
      <alignment horizontal="right" vertical="center" textRotation="90" wrapText="false" indent="0" shrinkToFit="false"/>
      <protection locked="false" hidden="false"/>
    </xf>
    <xf numFmtId="164" fontId="24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6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1" fillId="3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3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3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" fillId="3" borderId="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1" fillId="3" borderId="1" xfId="0" applyFont="true" applyBorder="true" applyAlignment="true" applyProtection="true">
      <alignment horizontal="left" vertical="bottom" textRotation="90" wrapText="true" indent="0" shrinkToFit="false"/>
      <protection locked="false" hidden="false"/>
    </xf>
    <xf numFmtId="164" fontId="25" fillId="3" borderId="1" xfId="0" applyFont="true" applyBorder="true" applyAlignment="true" applyProtection="true">
      <alignment horizontal="center" vertical="bottom" textRotation="90" wrapText="true" indent="0" shrinkToFit="false"/>
      <protection locked="false" hidden="false"/>
    </xf>
    <xf numFmtId="164" fontId="25" fillId="3" borderId="8" xfId="0" applyFont="true" applyBorder="true" applyAlignment="true" applyProtection="true">
      <alignment horizontal="center" vertical="bottom" textRotation="90" wrapText="true" indent="0" shrinkToFit="false"/>
      <protection locked="false" hidden="false"/>
    </xf>
    <xf numFmtId="164" fontId="31" fillId="3" borderId="1" xfId="0" applyFont="true" applyBorder="true" applyAlignment="true" applyProtection="true">
      <alignment horizontal="right" vertical="bottom" textRotation="90" wrapText="true" indent="0" shrinkToFit="false"/>
      <protection locked="false" hidden="false"/>
    </xf>
    <xf numFmtId="164" fontId="31" fillId="3" borderId="8" xfId="0" applyFont="true" applyBorder="true" applyAlignment="true" applyProtection="true">
      <alignment horizontal="left" vertical="bottom" textRotation="90" wrapText="true" indent="0" shrinkToFit="false"/>
      <protection locked="false" hidden="false"/>
    </xf>
    <xf numFmtId="164" fontId="9" fillId="11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8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8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3" borderId="1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6" fillId="3" borderId="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5" fillId="3" borderId="5" xfId="0" applyFont="true" applyBorder="true" applyAlignment="true" applyProtection="true">
      <alignment horizontal="center" vertical="bottom" textRotation="90" wrapText="true" indent="0" shrinkToFit="false"/>
      <protection locked="false" hidden="false"/>
    </xf>
    <xf numFmtId="164" fontId="31" fillId="3" borderId="5" xfId="0" applyFont="true" applyBorder="true" applyAlignment="true" applyProtection="true">
      <alignment horizontal="left" vertical="bottom" textRotation="90" wrapText="true" indent="0" shrinkToFit="false"/>
      <protection locked="false" hidden="false"/>
    </xf>
    <xf numFmtId="164" fontId="17" fillId="3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7" fillId="3" borderId="8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8" fillId="0" borderId="1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18" fillId="3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2" fillId="3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0" fillId="3" borderId="1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3" borderId="1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3" borderId="13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7" fillId="3" borderId="5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7" fontId="19" fillId="0" borderId="1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19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32" fillId="3" borderId="1" xfId="0" applyFont="true" applyBorder="true" applyAlignment="true" applyProtection="true">
      <alignment horizontal="center" vertical="center" textRotation="90" wrapText="false" indent="0" shrinkToFit="false"/>
      <protection locked="false" hidden="false"/>
    </xf>
    <xf numFmtId="164" fontId="33" fillId="3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4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34" fillId="3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4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3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7" fillId="3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7" fillId="3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6" fillId="3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3" borderId="5" xfId="0" applyFont="true" applyBorder="true" applyAlignment="true" applyProtection="true">
      <alignment horizontal="center" vertical="center" textRotation="90" wrapText="true" indent="0" shrinkToFit="false"/>
      <protection locked="false" hidden="false"/>
    </xf>
    <xf numFmtId="165" fontId="15" fillId="3" borderId="1" xfId="0" applyFont="true" applyBorder="true" applyAlignment="true" applyProtection="true">
      <alignment horizontal="center" vertical="center" textRotation="90" wrapText="false" indent="0" shrinkToFit="false"/>
      <protection locked="false" hidden="false"/>
    </xf>
    <xf numFmtId="164" fontId="24" fillId="3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8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9" fillId="3" borderId="1" xfId="0" applyFont="true" applyBorder="true" applyAlignment="true" applyProtection="true">
      <alignment horizontal="center" vertical="bottom" textRotation="90" wrapText="true" indent="0" shrinkToFit="false"/>
      <protection locked="false" hidden="false"/>
    </xf>
    <xf numFmtId="164" fontId="29" fillId="3" borderId="1" xfId="0" applyFont="true" applyBorder="true" applyAlignment="true" applyProtection="true">
      <alignment horizontal="left" vertical="bottom" textRotation="90" wrapText="true" indent="0" shrinkToFit="false"/>
      <protection locked="false" hidden="false"/>
    </xf>
    <xf numFmtId="164" fontId="29" fillId="3" borderId="8" xfId="0" applyFont="true" applyBorder="true" applyAlignment="true" applyProtection="true">
      <alignment horizontal="left" vertical="bottom" textRotation="90" wrapText="true" indent="0" shrinkToFit="false"/>
      <protection locked="false" hidden="false"/>
    </xf>
    <xf numFmtId="164" fontId="29" fillId="3" borderId="8" xfId="0" applyFont="true" applyBorder="true" applyAlignment="true" applyProtection="true">
      <alignment horizontal="center" vertical="bottom" textRotation="90" wrapText="true" indent="0" shrinkToFit="false"/>
      <protection locked="false" hidden="false"/>
    </xf>
    <xf numFmtId="164" fontId="18" fillId="3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8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9" fillId="3" borderId="5" xfId="0" applyFont="true" applyBorder="true" applyAlignment="true" applyProtection="true">
      <alignment horizontal="left" vertical="bottom" textRotation="90" wrapText="true" indent="0" shrinkToFit="false"/>
      <protection locked="false" hidden="false"/>
    </xf>
    <xf numFmtId="164" fontId="29" fillId="3" borderId="5" xfId="0" applyFont="true" applyBorder="true" applyAlignment="true" applyProtection="true">
      <alignment horizontal="center" vertical="bottom" textRotation="90" wrapText="true" indent="0" shrinkToFit="false"/>
      <protection locked="false" hidden="false"/>
    </xf>
    <xf numFmtId="164" fontId="28" fillId="3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28" fillId="3" borderId="8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27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8" fillId="3" borderId="13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28" fillId="3" borderId="5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25" fillId="3" borderId="1" xfId="0" applyFont="true" applyBorder="true" applyAlignment="true" applyProtection="true">
      <alignment horizontal="left" vertical="bottom" textRotation="90" wrapText="true" indent="0" shrinkToFit="false"/>
      <protection locked="false" hidden="false"/>
    </xf>
    <xf numFmtId="164" fontId="25" fillId="3" borderId="8" xfId="0" applyFont="true" applyBorder="true" applyAlignment="true" applyProtection="true">
      <alignment horizontal="left" vertical="bottom" textRotation="90" wrapText="true" indent="0" shrinkToFit="false"/>
      <protection locked="false" hidden="false"/>
    </xf>
    <xf numFmtId="164" fontId="12" fillId="3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5" fillId="3" borderId="5" xfId="0" applyFont="true" applyBorder="true" applyAlignment="true" applyProtection="true">
      <alignment horizontal="left" vertical="bottom" textRotation="90" wrapText="true" indent="0" shrinkToFit="false"/>
      <protection locked="false" hidden="false"/>
    </xf>
    <xf numFmtId="164" fontId="35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5" fillId="3" borderId="1" xfId="0" applyFont="true" applyBorder="true" applyAlignment="true" applyProtection="true">
      <alignment horizontal="center" vertical="bottom" textRotation="90" wrapText="true" indent="0" shrinkToFit="false"/>
      <protection locked="false" hidden="false"/>
    </xf>
    <xf numFmtId="164" fontId="15" fillId="3" borderId="8" xfId="0" applyFont="true" applyBorder="true" applyAlignment="true" applyProtection="true">
      <alignment horizontal="center" vertical="bottom" textRotation="90" wrapText="true" indent="0" shrinkToFit="false"/>
      <protection locked="false" hidden="false"/>
    </xf>
    <xf numFmtId="164" fontId="18" fillId="3" borderId="1" xfId="0" applyFont="true" applyBorder="true" applyAlignment="true" applyProtection="true">
      <alignment horizontal="center" vertical="bottom" textRotation="90" wrapText="false" indent="0" shrinkToFit="false"/>
      <protection locked="false" hidden="false"/>
    </xf>
    <xf numFmtId="164" fontId="15" fillId="3" borderId="5" xfId="0" applyFont="true" applyBorder="true" applyAlignment="true" applyProtection="true">
      <alignment horizontal="center" vertical="bottom" textRotation="90" wrapText="true" indent="0" shrinkToFit="false"/>
      <protection locked="fals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1DA"/>
      <rgbColor rgb="FF808080"/>
      <rgbColor rgb="FF9999FF"/>
      <rgbColor rgb="FF993366"/>
      <rgbColor rgb="FFFDEADA"/>
      <rgbColor rgb="FFDBEEF4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EEECE1"/>
      <rgbColor rgb="FFFFFF66"/>
      <rgbColor rgb="FFF2F2F2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1048"/>
  <sheetViews>
    <sheetView showFormulas="false" showGridLines="true" showRowColHeaders="true" showZeros="true" rightToLeft="false" tabSelected="true" showOutlineSymbols="true" defaultGridColor="true" view="pageBreakPreview" topLeftCell="A1" colorId="64" zoomScale="90" zoomScaleNormal="90" zoomScalePageLayoutView="90" workbookViewId="0">
      <pane xSplit="0" ySplit="9" topLeftCell="A10" activePane="bottomLeft" state="frozen"/>
      <selection pane="topLeft" activeCell="A1" activeCellId="0" sqref="A1"/>
      <selection pane="bottomLeft" activeCell="J4" activeCellId="0" sqref="J4"/>
    </sheetView>
  </sheetViews>
  <sheetFormatPr defaultColWidth="11.4453125" defaultRowHeight="14.25" customHeight="true" zeroHeight="false" outlineLevelRow="0" outlineLevelCol="0"/>
  <cols>
    <col collapsed="false" customWidth="true" hidden="false" outlineLevel="0" max="1" min="1" style="1" width="4.33"/>
    <col collapsed="false" customWidth="true" hidden="false" outlineLevel="0" max="2" min="2" style="1" width="37.11"/>
    <col collapsed="false" customWidth="true" hidden="false" outlineLevel="0" max="3" min="3" style="1" width="12.55"/>
    <col collapsed="false" customWidth="true" hidden="false" outlineLevel="0" max="7" min="4" style="1" width="3.33"/>
    <col collapsed="false" customWidth="true" hidden="false" outlineLevel="0" max="26" min="8" style="1" width="3"/>
    <col collapsed="false" customWidth="true" hidden="false" outlineLevel="0" max="27" min="27" style="1" width="4"/>
    <col collapsed="false" customWidth="true" hidden="false" outlineLevel="0" max="28" min="28" style="1" width="6.67"/>
    <col collapsed="false" customWidth="true" hidden="false" outlineLevel="0" max="42" min="29" style="1" width="3.89"/>
    <col collapsed="false" customWidth="true" hidden="false" outlineLevel="0" max="43" min="43" style="1" width="5.44"/>
    <col collapsed="false" customWidth="true" hidden="false" outlineLevel="0" max="44" min="44" style="1" width="4.67"/>
    <col collapsed="false" customWidth="true" hidden="false" outlineLevel="0" max="45" min="45" style="1" width="5.33"/>
    <col collapsed="false" customWidth="false" hidden="false" outlineLevel="0" max="16384" min="46" style="1" width="11.45"/>
  </cols>
  <sheetData>
    <row r="1" customFormat="false" ht="14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customFormat="false" ht="0.75" hidden="tru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customFormat="false" ht="15.7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customFormat="false" ht="15.75" hidden="false" customHeight="true" outlineLevel="0" collapsed="false">
      <c r="A4" s="4" t="s">
        <v>2</v>
      </c>
      <c r="B4" s="4"/>
      <c r="C4" s="4"/>
      <c r="D4" s="5" t="s">
        <v>3</v>
      </c>
      <c r="E4" s="5"/>
      <c r="F4" s="5"/>
      <c r="G4" s="5"/>
      <c r="H4" s="5"/>
      <c r="I4" s="5"/>
      <c r="J4" s="6" t="s">
        <v>4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7" t="s">
        <v>5</v>
      </c>
      <c r="AF4" s="7"/>
      <c r="AG4" s="7"/>
      <c r="AH4" s="7"/>
      <c r="AI4" s="7"/>
      <c r="AJ4" s="7"/>
      <c r="AK4" s="8" t="s">
        <v>6</v>
      </c>
      <c r="AL4" s="8"/>
      <c r="AM4" s="8"/>
      <c r="AN4" s="9" t="s">
        <v>7</v>
      </c>
      <c r="AO4" s="9"/>
      <c r="AP4" s="9"/>
      <c r="AQ4" s="9"/>
      <c r="AR4" s="9"/>
      <c r="AS4" s="9"/>
    </row>
    <row r="5" customFormat="false" ht="15.75" hidden="false" customHeight="true" outlineLevel="0" collapsed="false">
      <c r="A5" s="4"/>
      <c r="B5" s="4"/>
      <c r="C5" s="4"/>
      <c r="D5" s="5" t="s">
        <v>8</v>
      </c>
      <c r="E5" s="5"/>
      <c r="F5" s="5"/>
      <c r="G5" s="5"/>
      <c r="H5" s="5"/>
      <c r="I5" s="5"/>
      <c r="J5" s="6" t="s">
        <v>9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10" t="s">
        <v>10</v>
      </c>
      <c r="AF5" s="10"/>
      <c r="AG5" s="10"/>
      <c r="AH5" s="10"/>
      <c r="AI5" s="10"/>
      <c r="AJ5" s="10"/>
      <c r="AK5" s="8" t="s">
        <v>11</v>
      </c>
      <c r="AL5" s="8"/>
      <c r="AM5" s="8"/>
      <c r="AN5" s="9"/>
      <c r="AO5" s="9"/>
      <c r="AP5" s="9"/>
      <c r="AQ5" s="9"/>
      <c r="AR5" s="9"/>
      <c r="AS5" s="9"/>
    </row>
    <row r="6" customFormat="false" ht="14.25" hidden="false" customHeight="true" outlineLevel="0" collapsed="false">
      <c r="A6" s="4"/>
      <c r="B6" s="4"/>
      <c r="C6" s="4"/>
      <c r="D6" s="11" t="s">
        <v>12</v>
      </c>
      <c r="E6" s="11"/>
      <c r="F6" s="11"/>
      <c r="G6" s="11"/>
      <c r="H6" s="11"/>
      <c r="I6" s="11"/>
      <c r="J6" s="12" t="s">
        <v>13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0" t="s">
        <v>14</v>
      </c>
      <c r="AF6" s="10"/>
      <c r="AG6" s="10"/>
      <c r="AH6" s="10"/>
      <c r="AI6" s="10"/>
      <c r="AJ6" s="10"/>
      <c r="AK6" s="8" t="s">
        <v>15</v>
      </c>
      <c r="AL6" s="8"/>
      <c r="AM6" s="8"/>
      <c r="AN6" s="9"/>
      <c r="AO6" s="9"/>
      <c r="AP6" s="9"/>
      <c r="AQ6" s="9"/>
      <c r="AR6" s="9"/>
      <c r="AS6" s="9"/>
    </row>
    <row r="7" customFormat="false" ht="17.25" hidden="false" customHeight="true" outlineLevel="0" collapsed="false">
      <c r="A7" s="13" t="s">
        <v>16</v>
      </c>
      <c r="B7" s="14" t="s">
        <v>17</v>
      </c>
      <c r="C7" s="15" t="s">
        <v>18</v>
      </c>
      <c r="D7" s="16" t="s">
        <v>19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7" t="s">
        <v>20</v>
      </c>
      <c r="AB7" s="17" t="s">
        <v>21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9" t="s">
        <v>22</v>
      </c>
      <c r="AR7" s="19" t="s">
        <v>23</v>
      </c>
      <c r="AS7" s="19" t="s">
        <v>24</v>
      </c>
    </row>
    <row r="8" customFormat="false" ht="24" hidden="false" customHeight="true" outlineLevel="0" collapsed="false">
      <c r="A8" s="13"/>
      <c r="B8" s="14"/>
      <c r="C8" s="15"/>
      <c r="D8" s="20" t="s">
        <v>24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17"/>
      <c r="AB8" s="17"/>
      <c r="AC8" s="21" t="s">
        <v>25</v>
      </c>
      <c r="AD8" s="21"/>
      <c r="AE8" s="21"/>
      <c r="AF8" s="21"/>
      <c r="AG8" s="21"/>
      <c r="AH8" s="21"/>
      <c r="AI8" s="21"/>
      <c r="AJ8" s="22" t="s">
        <v>26</v>
      </c>
      <c r="AK8" s="22"/>
      <c r="AL8" s="22"/>
      <c r="AM8" s="22"/>
      <c r="AN8" s="22"/>
      <c r="AO8" s="22"/>
      <c r="AP8" s="22"/>
      <c r="AQ8" s="19"/>
      <c r="AR8" s="19"/>
      <c r="AS8" s="19"/>
    </row>
    <row r="9" customFormat="false" ht="97.5" hidden="false" customHeight="true" outlineLevel="0" collapsed="false">
      <c r="A9" s="13"/>
      <c r="B9" s="14"/>
      <c r="C9" s="15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4"/>
      <c r="Q9" s="24"/>
      <c r="R9" s="24"/>
      <c r="S9" s="24"/>
      <c r="T9" s="24"/>
      <c r="U9" s="24"/>
      <c r="V9" s="24"/>
      <c r="W9" s="24"/>
      <c r="X9" s="25"/>
      <c r="Y9" s="25"/>
      <c r="Z9" s="25"/>
      <c r="AA9" s="17"/>
      <c r="AB9" s="17"/>
      <c r="AC9" s="26"/>
      <c r="AD9" s="26"/>
      <c r="AE9" s="26"/>
      <c r="AF9" s="26"/>
      <c r="AG9" s="26"/>
      <c r="AH9" s="26"/>
      <c r="AI9" s="26"/>
      <c r="AJ9" s="27"/>
      <c r="AK9" s="27"/>
      <c r="AL9" s="27"/>
      <c r="AM9" s="27"/>
      <c r="AN9" s="27"/>
      <c r="AO9" s="27"/>
      <c r="AP9" s="28" t="s">
        <v>27</v>
      </c>
      <c r="AQ9" s="19"/>
      <c r="AR9" s="19"/>
      <c r="AS9" s="19"/>
    </row>
    <row r="10" customFormat="false" ht="19.5" hidden="false" customHeight="true" outlineLevel="0" collapsed="false">
      <c r="A10" s="29" t="n">
        <v>-1</v>
      </c>
      <c r="B10" s="30" t="s">
        <v>28</v>
      </c>
      <c r="C10" s="31" t="n">
        <v>-2</v>
      </c>
      <c r="D10" s="32" t="s">
        <v>29</v>
      </c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4"/>
      <c r="AA10" s="35" t="n">
        <f aca="false">COUNTA(D10:Z10)-COUNTIF(D10:Z10,"F")</f>
        <v>0</v>
      </c>
      <c r="AB10" s="36" t="n">
        <f aca="false">(ROUND(((COUNTA(D10:Z10)-COUNTIF(D10:Z10,"F"))*100)/(COUNTA(D10:Z10)),0))/100</f>
        <v>0</v>
      </c>
      <c r="AC10" s="37"/>
      <c r="AD10" s="37"/>
      <c r="AE10" s="38"/>
      <c r="AF10" s="38"/>
      <c r="AG10" s="38"/>
      <c r="AH10" s="38"/>
      <c r="AI10" s="38"/>
      <c r="AJ10" s="39"/>
      <c r="AK10" s="39"/>
      <c r="AL10" s="39"/>
      <c r="AM10" s="39"/>
      <c r="AN10" s="39"/>
      <c r="AO10" s="39"/>
      <c r="AP10" s="39"/>
      <c r="AQ10" s="40" t="str">
        <f aca="false">IF(AC10="","",ROUND(AVERAGE(AC10:AI10),0))</f>
        <v/>
      </c>
      <c r="AR10" s="40" t="str">
        <f aca="false">IF(AJ10="","",ROUND(AVERAGE(AJ10:AP10),0))</f>
        <v/>
      </c>
      <c r="AS10" s="41" t="str">
        <f aca="false">IF(AQ10="","",ROUND((AQ10+AR10),0))</f>
        <v/>
      </c>
    </row>
    <row r="11" customFormat="false" ht="19.5" hidden="false" customHeight="true" outlineLevel="0" collapsed="false">
      <c r="A11" s="42"/>
      <c r="B11" s="43"/>
      <c r="C11" s="43"/>
      <c r="D11" s="44"/>
      <c r="E11" s="44"/>
      <c r="F11" s="44"/>
      <c r="G11" s="44"/>
      <c r="AB11" s="45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</row>
    <row r="12" customFormat="false" ht="19.5" hidden="false" customHeight="true" outlineLevel="0" collapsed="false">
      <c r="A12" s="42"/>
      <c r="B12" s="43"/>
      <c r="C12" s="43"/>
      <c r="D12" s="44"/>
      <c r="E12" s="44"/>
      <c r="F12" s="44"/>
      <c r="G12" s="44"/>
      <c r="AB12" s="45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</row>
    <row r="13" customFormat="false" ht="13.5" hidden="false" customHeight="true" outlineLevel="0" collapsed="false">
      <c r="A13" s="42"/>
      <c r="B13" s="43"/>
      <c r="C13" s="43"/>
      <c r="D13" s="46"/>
      <c r="E13" s="46"/>
      <c r="F13" s="46"/>
      <c r="G13" s="46"/>
      <c r="H13" s="47"/>
      <c r="AB13" s="45"/>
      <c r="AC13" s="42"/>
      <c r="AD13" s="42"/>
      <c r="AE13" s="42"/>
      <c r="AF13" s="42"/>
      <c r="AG13" s="42"/>
      <c r="AH13" s="42"/>
      <c r="AI13" s="42"/>
      <c r="AJ13" s="48"/>
      <c r="AK13" s="48"/>
      <c r="AL13" s="42"/>
      <c r="AM13" s="42"/>
      <c r="AN13" s="42"/>
      <c r="AO13" s="42"/>
      <c r="AQ13" s="42"/>
      <c r="AR13" s="42"/>
      <c r="AS13" s="42"/>
    </row>
    <row r="14" customFormat="false" ht="17.25" hidden="false" customHeight="true" outlineLevel="0" collapsed="false">
      <c r="B14" s="49"/>
      <c r="C14" s="50"/>
      <c r="I14" s="51" t="s">
        <v>13</v>
      </c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AE14" s="52"/>
      <c r="AF14" s="52"/>
      <c r="AG14" s="52"/>
      <c r="AH14" s="52"/>
      <c r="AI14" s="52"/>
      <c r="AJ14" s="52"/>
      <c r="AK14" s="52"/>
      <c r="AL14" s="52"/>
    </row>
    <row r="15" customFormat="false" ht="12" hidden="false" customHeight="true" outlineLevel="0" collapsed="false">
      <c r="B15" s="53" t="s">
        <v>30</v>
      </c>
      <c r="C15" s="53"/>
      <c r="D15" s="53"/>
      <c r="E15" s="53"/>
      <c r="F15" s="53"/>
      <c r="G15" s="53"/>
      <c r="H15" s="54"/>
      <c r="I15" s="55"/>
      <c r="J15" s="56"/>
      <c r="K15" s="55"/>
      <c r="L15" s="54"/>
      <c r="M15" s="54"/>
      <c r="N15" s="54"/>
      <c r="O15" s="57" t="s">
        <v>31</v>
      </c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3"/>
      <c r="AA15" s="53"/>
      <c r="AE15" s="53"/>
      <c r="AI15" s="53" t="s">
        <v>32</v>
      </c>
      <c r="AJ15" s="53"/>
      <c r="AK15" s="53"/>
      <c r="AL15" s="53"/>
    </row>
    <row r="16" customFormat="false" ht="12" hidden="false" customHeight="true" outlineLevel="0" collapsed="false">
      <c r="B16" s="53"/>
      <c r="C16" s="53"/>
      <c r="D16" s="53"/>
      <c r="E16" s="53"/>
      <c r="F16" s="53"/>
      <c r="G16" s="53"/>
      <c r="H16" s="54"/>
      <c r="I16" s="55"/>
      <c r="J16" s="56"/>
      <c r="K16" s="55"/>
      <c r="L16" s="54"/>
      <c r="M16" s="54"/>
      <c r="N16" s="54"/>
      <c r="O16" s="57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3"/>
      <c r="AA16" s="53"/>
      <c r="AE16" s="53"/>
      <c r="AI16" s="53"/>
      <c r="AJ16" s="53"/>
      <c r="AK16" s="53"/>
      <c r="AL16" s="53"/>
    </row>
    <row r="17" customFormat="false" ht="12" hidden="false" customHeight="true" outlineLevel="0" collapsed="false">
      <c r="B17" s="53"/>
      <c r="C17" s="53"/>
      <c r="D17" s="53"/>
      <c r="E17" s="53"/>
      <c r="F17" s="53"/>
      <c r="G17" s="53"/>
      <c r="H17" s="54"/>
      <c r="I17" s="55"/>
      <c r="J17" s="56"/>
      <c r="K17" s="55"/>
      <c r="L17" s="54"/>
      <c r="M17" s="54"/>
      <c r="N17" s="54"/>
      <c r="O17" s="57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3"/>
      <c r="AA17" s="53"/>
      <c r="AE17" s="53"/>
      <c r="AI17" s="53"/>
      <c r="AJ17" s="53"/>
      <c r="AK17" s="53"/>
      <c r="AL17" s="53"/>
    </row>
    <row r="18" customFormat="false" ht="12" hidden="false" customHeight="true" outlineLevel="0" collapsed="false">
      <c r="B18" s="53"/>
      <c r="C18" s="53"/>
      <c r="D18" s="53"/>
      <c r="E18" s="53"/>
      <c r="F18" s="53"/>
      <c r="G18" s="53"/>
      <c r="H18" s="54"/>
      <c r="I18" s="55"/>
      <c r="J18" s="56"/>
      <c r="K18" s="55"/>
      <c r="L18" s="54"/>
      <c r="M18" s="54"/>
      <c r="N18" s="54"/>
      <c r="O18" s="57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3"/>
      <c r="AA18" s="53"/>
      <c r="AE18" s="53"/>
      <c r="AI18" s="53"/>
      <c r="AJ18" s="53"/>
      <c r="AK18" s="53"/>
      <c r="AL18" s="53"/>
    </row>
    <row r="19" customFormat="false" ht="12" hidden="false" customHeight="true" outlineLevel="0" collapsed="false">
      <c r="B19" s="53"/>
      <c r="C19" s="53"/>
      <c r="D19" s="53"/>
      <c r="E19" s="53"/>
      <c r="F19" s="53"/>
      <c r="G19" s="53"/>
      <c r="H19" s="54"/>
      <c r="I19" s="55"/>
      <c r="J19" s="56"/>
      <c r="K19" s="55"/>
      <c r="L19" s="54"/>
      <c r="M19" s="54"/>
      <c r="N19" s="54"/>
      <c r="O19" s="57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3"/>
      <c r="AA19" s="53"/>
      <c r="AE19" s="53"/>
      <c r="AI19" s="53"/>
      <c r="AJ19" s="53"/>
      <c r="AK19" s="53"/>
      <c r="AL19" s="53"/>
    </row>
    <row r="20" customFormat="false" ht="12" hidden="false" customHeight="true" outlineLevel="0" collapsed="false">
      <c r="B20" s="53"/>
      <c r="C20" s="53"/>
      <c r="D20" s="53"/>
      <c r="E20" s="53"/>
      <c r="F20" s="53"/>
      <c r="G20" s="53"/>
      <c r="H20" s="54"/>
      <c r="I20" s="55"/>
      <c r="J20" s="56"/>
      <c r="K20" s="55"/>
      <c r="L20" s="54"/>
      <c r="M20" s="54"/>
      <c r="N20" s="54"/>
      <c r="O20" s="57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3"/>
      <c r="AA20" s="53"/>
      <c r="AE20" s="53"/>
      <c r="AI20" s="53"/>
      <c r="AJ20" s="53"/>
      <c r="AK20" s="53"/>
      <c r="AL20" s="53"/>
    </row>
    <row r="21" customFormat="false" ht="12" hidden="false" customHeight="true" outlineLevel="0" collapsed="false">
      <c r="B21" s="53"/>
      <c r="C21" s="53"/>
      <c r="D21" s="53"/>
      <c r="E21" s="53"/>
      <c r="F21" s="53"/>
      <c r="G21" s="53"/>
      <c r="H21" s="54"/>
      <c r="I21" s="55"/>
      <c r="J21" s="56"/>
      <c r="K21" s="55"/>
      <c r="L21" s="54"/>
      <c r="M21" s="54"/>
      <c r="N21" s="54"/>
      <c r="O21" s="57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3"/>
      <c r="AA21" s="53"/>
      <c r="AE21" s="53"/>
      <c r="AI21" s="53"/>
      <c r="AJ21" s="53"/>
      <c r="AK21" s="53"/>
      <c r="AL21" s="53"/>
    </row>
    <row r="22" customFormat="false" ht="12" hidden="false" customHeight="true" outlineLevel="0" collapsed="false">
      <c r="B22" s="53"/>
      <c r="C22" s="53"/>
      <c r="D22" s="53"/>
      <c r="E22" s="53"/>
      <c r="F22" s="53"/>
      <c r="G22" s="53"/>
      <c r="H22" s="54"/>
      <c r="I22" s="55"/>
      <c r="J22" s="56"/>
      <c r="K22" s="55"/>
      <c r="L22" s="54"/>
      <c r="M22" s="54"/>
      <c r="N22" s="54"/>
      <c r="O22" s="57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3"/>
      <c r="AA22" s="53"/>
      <c r="AE22" s="53"/>
      <c r="AI22" s="53"/>
      <c r="AJ22" s="53"/>
      <c r="AK22" s="53"/>
      <c r="AL22" s="53"/>
    </row>
    <row r="23" customFormat="false" ht="12" hidden="false" customHeight="true" outlineLevel="0" collapsed="false">
      <c r="B23" s="53"/>
      <c r="C23" s="53"/>
      <c r="D23" s="53"/>
      <c r="E23" s="53"/>
      <c r="F23" s="53"/>
      <c r="G23" s="53"/>
      <c r="H23" s="54"/>
      <c r="I23" s="55"/>
      <c r="J23" s="56"/>
      <c r="K23" s="55"/>
      <c r="L23" s="54"/>
      <c r="M23" s="54"/>
      <c r="N23" s="54"/>
      <c r="O23" s="57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3"/>
      <c r="AA23" s="53"/>
      <c r="AE23" s="53"/>
      <c r="AI23" s="53"/>
      <c r="AJ23" s="53"/>
      <c r="AK23" s="53"/>
      <c r="AL23" s="53"/>
    </row>
    <row r="24" customFormat="false" ht="12" hidden="false" customHeight="true" outlineLevel="0" collapsed="false">
      <c r="B24" s="53"/>
      <c r="C24" s="53"/>
      <c r="D24" s="53"/>
      <c r="E24" s="53"/>
      <c r="F24" s="53"/>
      <c r="G24" s="53"/>
      <c r="H24" s="54"/>
      <c r="I24" s="55"/>
      <c r="J24" s="56"/>
      <c r="K24" s="55"/>
      <c r="L24" s="54"/>
      <c r="M24" s="54"/>
      <c r="N24" s="54"/>
      <c r="O24" s="57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3"/>
      <c r="AA24" s="53"/>
      <c r="AE24" s="53"/>
      <c r="AI24" s="53"/>
      <c r="AJ24" s="53"/>
      <c r="AK24" s="53"/>
      <c r="AL24" s="53"/>
    </row>
    <row r="25" customFormat="false" ht="12" hidden="false" customHeight="true" outlineLevel="0" collapsed="false">
      <c r="B25" s="53"/>
      <c r="C25" s="53"/>
      <c r="D25" s="53"/>
      <c r="E25" s="53"/>
      <c r="F25" s="53"/>
      <c r="G25" s="53"/>
      <c r="H25" s="54"/>
      <c r="I25" s="55"/>
      <c r="J25" s="56"/>
      <c r="K25" s="55"/>
      <c r="L25" s="54"/>
      <c r="M25" s="54"/>
      <c r="N25" s="54"/>
      <c r="O25" s="57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3"/>
      <c r="AA25" s="53"/>
      <c r="AE25" s="53"/>
      <c r="AI25" s="53"/>
      <c r="AJ25" s="53"/>
      <c r="AK25" s="53"/>
      <c r="AL25" s="53"/>
    </row>
    <row r="26" customFormat="false" ht="12" hidden="false" customHeight="true" outlineLevel="0" collapsed="false">
      <c r="B26" s="53"/>
      <c r="C26" s="53"/>
      <c r="D26" s="53"/>
      <c r="E26" s="53"/>
      <c r="F26" s="53"/>
      <c r="G26" s="53"/>
      <c r="H26" s="54"/>
      <c r="I26" s="55"/>
      <c r="J26" s="56"/>
      <c r="K26" s="55"/>
      <c r="L26" s="54"/>
      <c r="M26" s="54"/>
      <c r="N26" s="54"/>
      <c r="O26" s="57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3"/>
      <c r="AA26" s="53"/>
      <c r="AE26" s="53"/>
      <c r="AI26" s="53"/>
      <c r="AJ26" s="53"/>
      <c r="AK26" s="53"/>
      <c r="AL26" s="53"/>
    </row>
    <row r="27" customFormat="false" ht="12" hidden="false" customHeight="true" outlineLevel="0" collapsed="false">
      <c r="B27" s="53"/>
      <c r="C27" s="53"/>
      <c r="D27" s="53"/>
      <c r="E27" s="53"/>
      <c r="F27" s="53"/>
      <c r="G27" s="53"/>
      <c r="H27" s="54"/>
      <c r="I27" s="55"/>
      <c r="J27" s="56"/>
      <c r="K27" s="55"/>
      <c r="L27" s="54"/>
      <c r="M27" s="54"/>
      <c r="N27" s="54"/>
      <c r="O27" s="57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3"/>
      <c r="AA27" s="53"/>
      <c r="AE27" s="53"/>
      <c r="AI27" s="53"/>
      <c r="AJ27" s="53"/>
      <c r="AK27" s="53"/>
      <c r="AL27" s="53"/>
    </row>
    <row r="28" customFormat="false" ht="12" hidden="false" customHeight="true" outlineLevel="0" collapsed="false">
      <c r="B28" s="53"/>
      <c r="C28" s="53"/>
      <c r="D28" s="53"/>
      <c r="E28" s="53"/>
      <c r="F28" s="53"/>
      <c r="G28" s="53"/>
      <c r="H28" s="54"/>
      <c r="I28" s="55"/>
      <c r="J28" s="56"/>
      <c r="K28" s="55"/>
      <c r="L28" s="54"/>
      <c r="M28" s="54"/>
      <c r="N28" s="54"/>
      <c r="O28" s="57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3"/>
      <c r="AA28" s="53"/>
      <c r="AE28" s="53"/>
      <c r="AI28" s="53"/>
      <c r="AJ28" s="53"/>
      <c r="AK28" s="53"/>
      <c r="AL28" s="53"/>
    </row>
    <row r="29" customFormat="false" ht="12" hidden="false" customHeight="true" outlineLevel="0" collapsed="false">
      <c r="B29" s="53"/>
      <c r="C29" s="53"/>
      <c r="D29" s="53"/>
      <c r="E29" s="53"/>
      <c r="F29" s="53"/>
      <c r="G29" s="53"/>
      <c r="H29" s="54"/>
      <c r="I29" s="55"/>
      <c r="J29" s="56"/>
      <c r="K29" s="55"/>
      <c r="L29" s="54"/>
      <c r="M29" s="54"/>
      <c r="N29" s="54"/>
      <c r="O29" s="57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3"/>
      <c r="AA29" s="53"/>
      <c r="AE29" s="53"/>
      <c r="AI29" s="53"/>
      <c r="AJ29" s="53"/>
      <c r="AK29" s="53"/>
      <c r="AL29" s="53"/>
    </row>
    <row r="30" customFormat="false" ht="12" hidden="false" customHeight="true" outlineLevel="0" collapsed="false">
      <c r="B30" s="53"/>
      <c r="C30" s="53"/>
      <c r="D30" s="53"/>
      <c r="E30" s="53"/>
      <c r="F30" s="53"/>
      <c r="G30" s="53"/>
      <c r="H30" s="54"/>
      <c r="I30" s="55"/>
      <c r="J30" s="56"/>
      <c r="K30" s="55"/>
      <c r="L30" s="54"/>
      <c r="M30" s="54"/>
      <c r="N30" s="54"/>
      <c r="O30" s="57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3"/>
      <c r="AA30" s="53"/>
      <c r="AE30" s="53"/>
      <c r="AI30" s="53"/>
      <c r="AJ30" s="53"/>
      <c r="AK30" s="53"/>
      <c r="AL30" s="53"/>
    </row>
    <row r="31" customFormat="false" ht="12" hidden="false" customHeight="true" outlineLevel="0" collapsed="false">
      <c r="B31" s="53"/>
      <c r="C31" s="53"/>
      <c r="D31" s="53"/>
      <c r="E31" s="53"/>
      <c r="F31" s="53"/>
      <c r="G31" s="53"/>
      <c r="H31" s="54"/>
      <c r="I31" s="55"/>
      <c r="J31" s="56"/>
      <c r="K31" s="55"/>
      <c r="L31" s="54"/>
      <c r="M31" s="54"/>
      <c r="N31" s="54"/>
      <c r="O31" s="57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3"/>
      <c r="AA31" s="53"/>
      <c r="AE31" s="53"/>
      <c r="AI31" s="53"/>
      <c r="AJ31" s="53"/>
      <c r="AK31" s="53"/>
      <c r="AL31" s="53"/>
    </row>
    <row r="32" customFormat="false" ht="12" hidden="false" customHeight="true" outlineLevel="0" collapsed="false">
      <c r="B32" s="53"/>
      <c r="C32" s="53"/>
      <c r="D32" s="53"/>
      <c r="E32" s="53"/>
      <c r="F32" s="53"/>
      <c r="G32" s="53"/>
      <c r="H32" s="54"/>
      <c r="I32" s="55"/>
      <c r="J32" s="56"/>
      <c r="K32" s="55"/>
      <c r="L32" s="54"/>
      <c r="M32" s="54"/>
      <c r="N32" s="54"/>
      <c r="O32" s="57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3"/>
      <c r="AA32" s="53"/>
      <c r="AE32" s="53"/>
      <c r="AI32" s="53"/>
      <c r="AJ32" s="53"/>
      <c r="AK32" s="53"/>
      <c r="AL32" s="53"/>
    </row>
    <row r="33" customFormat="false" ht="12" hidden="false" customHeight="true" outlineLevel="0" collapsed="false">
      <c r="B33" s="53"/>
      <c r="C33" s="53"/>
      <c r="D33" s="53"/>
      <c r="E33" s="53"/>
      <c r="F33" s="53"/>
      <c r="G33" s="53"/>
      <c r="H33" s="54"/>
      <c r="I33" s="55"/>
      <c r="J33" s="56"/>
      <c r="K33" s="55"/>
      <c r="L33" s="54"/>
      <c r="M33" s="54"/>
      <c r="N33" s="54"/>
      <c r="O33" s="57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3"/>
      <c r="AA33" s="53"/>
      <c r="AE33" s="53"/>
      <c r="AI33" s="53"/>
      <c r="AJ33" s="53"/>
      <c r="AK33" s="53"/>
      <c r="AL33" s="53"/>
    </row>
    <row r="34" customFormat="false" ht="12" hidden="false" customHeight="true" outlineLevel="0" collapsed="false">
      <c r="B34" s="53"/>
      <c r="C34" s="53"/>
      <c r="D34" s="53"/>
      <c r="E34" s="53"/>
      <c r="F34" s="53"/>
      <c r="G34" s="53"/>
      <c r="H34" s="54"/>
      <c r="I34" s="55"/>
      <c r="J34" s="56"/>
      <c r="K34" s="55"/>
      <c r="L34" s="54"/>
      <c r="M34" s="54"/>
      <c r="N34" s="54"/>
      <c r="O34" s="57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3"/>
      <c r="AA34" s="53"/>
      <c r="AE34" s="53"/>
      <c r="AI34" s="53"/>
      <c r="AJ34" s="53"/>
      <c r="AK34" s="53"/>
      <c r="AL34" s="53"/>
    </row>
    <row r="35" customFormat="false" ht="12" hidden="false" customHeight="true" outlineLevel="0" collapsed="false">
      <c r="B35" s="53"/>
      <c r="C35" s="53"/>
      <c r="D35" s="53"/>
      <c r="E35" s="53"/>
      <c r="F35" s="53"/>
      <c r="G35" s="53"/>
      <c r="H35" s="54"/>
      <c r="I35" s="55"/>
      <c r="J35" s="56"/>
      <c r="K35" s="55"/>
      <c r="L35" s="54"/>
      <c r="M35" s="54"/>
      <c r="N35" s="54"/>
      <c r="O35" s="57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3"/>
      <c r="AA35" s="53"/>
      <c r="AE35" s="53"/>
      <c r="AI35" s="53"/>
      <c r="AJ35" s="53"/>
      <c r="AK35" s="53"/>
      <c r="AL35" s="53"/>
    </row>
    <row r="36" customFormat="false" ht="12" hidden="false" customHeight="true" outlineLevel="0" collapsed="false">
      <c r="B36" s="53"/>
      <c r="C36" s="53"/>
      <c r="D36" s="53"/>
      <c r="E36" s="53"/>
      <c r="F36" s="53"/>
      <c r="G36" s="53"/>
      <c r="H36" s="54"/>
      <c r="I36" s="55"/>
      <c r="J36" s="56"/>
      <c r="K36" s="55"/>
      <c r="L36" s="54"/>
      <c r="M36" s="54"/>
      <c r="N36" s="54"/>
      <c r="O36" s="57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3"/>
      <c r="AA36" s="53"/>
      <c r="AE36" s="53"/>
      <c r="AI36" s="53"/>
      <c r="AJ36" s="53"/>
      <c r="AK36" s="53"/>
      <c r="AL36" s="53"/>
    </row>
    <row r="37" customFormat="false" ht="12" hidden="false" customHeight="true" outlineLevel="0" collapsed="false">
      <c r="B37" s="53"/>
      <c r="C37" s="53"/>
      <c r="D37" s="53"/>
      <c r="E37" s="53"/>
      <c r="F37" s="53"/>
      <c r="G37" s="53"/>
      <c r="H37" s="54"/>
      <c r="I37" s="55"/>
      <c r="J37" s="56"/>
      <c r="K37" s="55"/>
      <c r="L37" s="54"/>
      <c r="M37" s="54"/>
      <c r="N37" s="54"/>
      <c r="O37" s="57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3"/>
      <c r="AA37" s="53"/>
      <c r="AE37" s="53"/>
      <c r="AI37" s="53"/>
      <c r="AJ37" s="53"/>
      <c r="AK37" s="53"/>
      <c r="AL37" s="53"/>
    </row>
    <row r="38" customFormat="false" ht="12" hidden="false" customHeight="true" outlineLevel="0" collapsed="false">
      <c r="B38" s="53"/>
      <c r="C38" s="53"/>
      <c r="D38" s="53"/>
      <c r="E38" s="53"/>
      <c r="F38" s="53"/>
      <c r="G38" s="53"/>
      <c r="H38" s="54"/>
      <c r="I38" s="55"/>
      <c r="J38" s="56"/>
      <c r="K38" s="55"/>
      <c r="L38" s="54"/>
      <c r="M38" s="54"/>
      <c r="N38" s="54"/>
      <c r="O38" s="57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3"/>
      <c r="AA38" s="53"/>
      <c r="AE38" s="53"/>
      <c r="AI38" s="53"/>
      <c r="AJ38" s="53"/>
      <c r="AK38" s="53"/>
      <c r="AL38" s="53"/>
    </row>
    <row r="39" customFormat="false" ht="12" hidden="false" customHeight="true" outlineLevel="0" collapsed="false">
      <c r="B39" s="53"/>
      <c r="C39" s="53"/>
      <c r="D39" s="53"/>
      <c r="E39" s="53"/>
      <c r="F39" s="53"/>
      <c r="G39" s="53"/>
      <c r="H39" s="54"/>
      <c r="I39" s="55"/>
      <c r="J39" s="56"/>
      <c r="K39" s="55"/>
      <c r="L39" s="54"/>
      <c r="M39" s="54"/>
      <c r="N39" s="54"/>
      <c r="O39" s="57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3"/>
      <c r="AA39" s="53"/>
      <c r="AE39" s="53"/>
      <c r="AI39" s="53"/>
      <c r="AJ39" s="53"/>
      <c r="AK39" s="53"/>
      <c r="AL39" s="53"/>
    </row>
    <row r="40" customFormat="false" ht="19.5" hidden="false" customHeight="true" outlineLevel="0" collapsed="false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</row>
    <row r="41" customFormat="false" ht="2.25" hidden="true" customHeight="true" outlineLevel="0" collapsed="false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</row>
    <row r="42" customFormat="false" ht="22.5" hidden="false" customHeight="true" outlineLevel="0" collapsed="false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</row>
    <row r="43" customFormat="false" ht="15" hidden="false" customHeight="true" outlineLevel="0" collapsed="false">
      <c r="A43" s="60"/>
      <c r="B43" s="60"/>
      <c r="C43" s="61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4"/>
      <c r="AN43" s="64"/>
      <c r="AO43" s="64"/>
      <c r="AP43" s="65"/>
      <c r="AQ43" s="65"/>
      <c r="AR43" s="65"/>
      <c r="AS43" s="65"/>
    </row>
    <row r="44" customFormat="false" ht="15.75" hidden="false" customHeight="true" outlineLevel="0" collapsed="false">
      <c r="A44" s="60"/>
      <c r="B44" s="60"/>
      <c r="C44" s="61"/>
      <c r="D44" s="62"/>
      <c r="E44" s="62"/>
      <c r="F44" s="62"/>
      <c r="G44" s="62"/>
      <c r="H44" s="66"/>
      <c r="I44" s="66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6"/>
      <c r="AC44" s="66"/>
      <c r="AD44" s="66"/>
      <c r="AE44" s="63"/>
      <c r="AF44" s="63"/>
      <c r="AG44" s="63"/>
      <c r="AH44" s="63"/>
      <c r="AI44" s="66"/>
      <c r="AJ44" s="66"/>
      <c r="AK44" s="66"/>
      <c r="AL44" s="66"/>
      <c r="AM44" s="64"/>
      <c r="AN44" s="64"/>
      <c r="AO44" s="64"/>
      <c r="AP44" s="65"/>
      <c r="AQ44" s="65"/>
      <c r="AR44" s="65"/>
      <c r="AS44" s="65"/>
    </row>
    <row r="45" customFormat="false" ht="14.25" hidden="false" customHeight="true" outlineLevel="0" collapsed="false">
      <c r="A45" s="60"/>
      <c r="B45" s="60"/>
      <c r="C45" s="61"/>
      <c r="D45" s="62"/>
      <c r="E45" s="62"/>
      <c r="F45" s="62"/>
      <c r="G45" s="62"/>
      <c r="H45" s="66"/>
      <c r="I45" s="66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4"/>
      <c r="AN45" s="64"/>
      <c r="AO45" s="64"/>
      <c r="AP45" s="65"/>
      <c r="AQ45" s="65"/>
      <c r="AR45" s="65"/>
      <c r="AS45" s="65"/>
    </row>
    <row r="46" customFormat="false" ht="15" hidden="false" customHeight="true" outlineLevel="0" collapsed="false">
      <c r="A46" s="68"/>
      <c r="B46" s="69"/>
      <c r="C46" s="70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2"/>
      <c r="AB46" s="72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  <c r="AO46" s="73"/>
      <c r="AP46" s="73"/>
      <c r="AQ46" s="74"/>
      <c r="AR46" s="74"/>
      <c r="AS46" s="74"/>
    </row>
    <row r="47" customFormat="false" ht="59.25" hidden="false" customHeight="true" outlineLevel="0" collapsed="false">
      <c r="A47" s="68"/>
      <c r="B47" s="69"/>
      <c r="C47" s="70"/>
      <c r="D47" s="75"/>
      <c r="E47" s="75"/>
      <c r="F47" s="75"/>
      <c r="G47" s="75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7"/>
      <c r="S47" s="77"/>
      <c r="T47" s="77"/>
      <c r="U47" s="77"/>
      <c r="V47" s="77"/>
      <c r="W47" s="77"/>
      <c r="X47" s="77"/>
      <c r="Y47" s="77"/>
      <c r="Z47" s="78"/>
      <c r="AA47" s="72"/>
      <c r="AB47" s="72"/>
      <c r="AC47" s="79"/>
      <c r="AD47" s="79"/>
      <c r="AE47" s="79"/>
      <c r="AF47" s="79"/>
      <c r="AG47" s="79"/>
      <c r="AH47" s="79"/>
      <c r="AI47" s="79"/>
      <c r="AJ47" s="79"/>
      <c r="AK47" s="79"/>
      <c r="AL47" s="79"/>
      <c r="AM47" s="79"/>
      <c r="AN47" s="79"/>
      <c r="AO47" s="79"/>
      <c r="AP47" s="79"/>
      <c r="AQ47" s="74"/>
      <c r="AR47" s="74"/>
      <c r="AS47" s="74"/>
    </row>
    <row r="48" customFormat="false" ht="63" hidden="false" customHeight="true" outlineLevel="0" collapsed="false">
      <c r="A48" s="68"/>
      <c r="B48" s="69"/>
      <c r="C48" s="70"/>
      <c r="D48" s="75"/>
      <c r="E48" s="75"/>
      <c r="F48" s="75"/>
      <c r="G48" s="75"/>
      <c r="H48" s="77"/>
      <c r="I48" s="76"/>
      <c r="J48" s="77"/>
      <c r="K48" s="77"/>
      <c r="L48" s="77"/>
      <c r="M48" s="77"/>
      <c r="N48" s="77"/>
      <c r="O48" s="77"/>
      <c r="P48" s="77"/>
      <c r="Q48" s="80"/>
      <c r="R48" s="76"/>
      <c r="S48" s="76"/>
      <c r="T48" s="76"/>
      <c r="U48" s="76"/>
      <c r="V48" s="76"/>
      <c r="W48" s="77"/>
      <c r="X48" s="77"/>
      <c r="Y48" s="77"/>
      <c r="Z48" s="78"/>
      <c r="AA48" s="72"/>
      <c r="AB48" s="72"/>
      <c r="AC48" s="81"/>
      <c r="AD48" s="81"/>
      <c r="AE48" s="81"/>
      <c r="AF48" s="81"/>
      <c r="AG48" s="82"/>
      <c r="AH48" s="82"/>
      <c r="AI48" s="81"/>
      <c r="AJ48" s="81"/>
      <c r="AK48" s="81"/>
      <c r="AL48" s="81"/>
      <c r="AM48" s="81"/>
      <c r="AN48" s="82"/>
      <c r="AO48" s="82"/>
      <c r="AP48" s="83"/>
      <c r="AQ48" s="74"/>
      <c r="AR48" s="74"/>
      <c r="AS48" s="74"/>
    </row>
    <row r="49" customFormat="false" ht="59.25" hidden="false" customHeight="true" outlineLevel="0" collapsed="false">
      <c r="A49" s="68"/>
      <c r="B49" s="69"/>
      <c r="C49" s="70"/>
      <c r="D49" s="75"/>
      <c r="E49" s="75"/>
      <c r="F49" s="75"/>
      <c r="G49" s="75"/>
      <c r="H49" s="80"/>
      <c r="I49" s="80"/>
      <c r="J49" s="76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76"/>
      <c r="W49" s="76"/>
      <c r="X49" s="76"/>
      <c r="Y49" s="76"/>
      <c r="Z49" s="84"/>
      <c r="AA49" s="72"/>
      <c r="AB49" s="72"/>
      <c r="AC49" s="81"/>
      <c r="AD49" s="81"/>
      <c r="AE49" s="81"/>
      <c r="AF49" s="81"/>
      <c r="AG49" s="82"/>
      <c r="AH49" s="82"/>
      <c r="AI49" s="81"/>
      <c r="AJ49" s="81"/>
      <c r="AK49" s="81"/>
      <c r="AL49" s="81"/>
      <c r="AM49" s="81"/>
      <c r="AN49" s="82"/>
      <c r="AO49" s="82"/>
      <c r="AP49" s="83"/>
      <c r="AQ49" s="74"/>
      <c r="AR49" s="74"/>
      <c r="AS49" s="74"/>
    </row>
    <row r="50" customFormat="false" ht="15" hidden="false" customHeight="false" outlineLevel="0" collapsed="false">
      <c r="A50" s="85"/>
      <c r="B50" s="86"/>
      <c r="C50" s="87"/>
      <c r="D50" s="46"/>
      <c r="E50" s="46"/>
      <c r="F50" s="46"/>
      <c r="G50" s="46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9"/>
      <c r="AA50" s="88"/>
      <c r="AB50" s="90"/>
      <c r="AC50" s="91"/>
      <c r="AD50" s="91"/>
      <c r="AE50" s="91"/>
      <c r="AF50" s="91"/>
      <c r="AG50" s="91"/>
      <c r="AH50" s="91"/>
      <c r="AI50" s="91"/>
      <c r="AJ50" s="92"/>
      <c r="AK50" s="92"/>
      <c r="AL50" s="91"/>
      <c r="AM50" s="91"/>
      <c r="AN50" s="91"/>
      <c r="AO50" s="91"/>
      <c r="AP50" s="89"/>
      <c r="AQ50" s="91"/>
      <c r="AR50" s="91"/>
      <c r="AS50" s="91"/>
    </row>
    <row r="51" customFormat="false" ht="12" hidden="false" customHeight="true" outlineLevel="0" collapsed="false">
      <c r="A51" s="85"/>
      <c r="B51" s="86"/>
      <c r="C51" s="87"/>
      <c r="D51" s="46"/>
      <c r="E51" s="46"/>
      <c r="F51" s="46"/>
      <c r="G51" s="46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9"/>
      <c r="AA51" s="88"/>
      <c r="AB51" s="90"/>
      <c r="AC51" s="93"/>
      <c r="AD51" s="93"/>
      <c r="AE51" s="91"/>
      <c r="AF51" s="91"/>
      <c r="AG51" s="91"/>
      <c r="AH51" s="91"/>
      <c r="AI51" s="91"/>
      <c r="AJ51" s="91"/>
      <c r="AK51" s="91"/>
      <c r="AL51" s="91"/>
      <c r="AM51" s="91"/>
      <c r="AN51" s="91"/>
      <c r="AO51" s="91"/>
      <c r="AP51" s="89"/>
      <c r="AQ51" s="91"/>
      <c r="AR51" s="91"/>
      <c r="AS51" s="91"/>
    </row>
    <row r="52" customFormat="false" ht="12" hidden="false" customHeight="true" outlineLevel="0" collapsed="false">
      <c r="A52" s="85"/>
      <c r="B52" s="86"/>
      <c r="C52" s="87"/>
      <c r="D52" s="46"/>
      <c r="E52" s="46"/>
      <c r="F52" s="46"/>
      <c r="G52" s="46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9"/>
      <c r="AA52" s="88"/>
      <c r="AB52" s="90"/>
      <c r="AC52" s="93"/>
      <c r="AD52" s="93"/>
      <c r="AE52" s="91"/>
      <c r="AF52" s="91"/>
      <c r="AG52" s="91"/>
      <c r="AH52" s="91"/>
      <c r="AI52" s="91"/>
      <c r="AJ52" s="91"/>
      <c r="AK52" s="91"/>
      <c r="AL52" s="91"/>
      <c r="AM52" s="91"/>
      <c r="AN52" s="91"/>
      <c r="AO52" s="91"/>
      <c r="AP52" s="93"/>
      <c r="AQ52" s="91"/>
      <c r="AR52" s="91"/>
      <c r="AS52" s="91"/>
    </row>
    <row r="53" customFormat="false" ht="12.75" hidden="false" customHeight="true" outlineLevel="0" collapsed="false">
      <c r="A53" s="85"/>
      <c r="B53" s="94"/>
      <c r="C53" s="95"/>
      <c r="D53" s="46"/>
      <c r="E53" s="46"/>
      <c r="F53" s="46"/>
      <c r="G53" s="46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9"/>
      <c r="AA53" s="88"/>
      <c r="AB53" s="90"/>
      <c r="AC53" s="91"/>
      <c r="AD53" s="91"/>
      <c r="AE53" s="91"/>
      <c r="AF53" s="91"/>
      <c r="AG53" s="91"/>
      <c r="AH53" s="91"/>
      <c r="AI53" s="91"/>
      <c r="AJ53" s="91"/>
      <c r="AK53" s="91"/>
      <c r="AL53" s="91"/>
      <c r="AM53" s="91"/>
      <c r="AN53" s="91"/>
      <c r="AO53" s="91"/>
      <c r="AP53" s="89"/>
      <c r="AQ53" s="91"/>
      <c r="AR53" s="91"/>
      <c r="AS53" s="91"/>
    </row>
    <row r="54" customFormat="false" ht="12" hidden="false" customHeight="true" outlineLevel="0" collapsed="false">
      <c r="A54" s="85"/>
      <c r="B54" s="94"/>
      <c r="C54" s="95"/>
      <c r="D54" s="46"/>
      <c r="E54" s="46"/>
      <c r="F54" s="46"/>
      <c r="G54" s="46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9"/>
      <c r="AA54" s="88"/>
      <c r="AB54" s="90"/>
      <c r="AC54" s="93"/>
      <c r="AD54" s="93"/>
      <c r="AE54" s="91"/>
      <c r="AF54" s="91"/>
      <c r="AG54" s="91"/>
      <c r="AH54" s="91"/>
      <c r="AI54" s="91"/>
      <c r="AJ54" s="91"/>
      <c r="AK54" s="91"/>
      <c r="AL54" s="91"/>
      <c r="AM54" s="91"/>
      <c r="AN54" s="91"/>
      <c r="AO54" s="91"/>
      <c r="AP54" s="89"/>
      <c r="AQ54" s="91"/>
      <c r="AR54" s="91"/>
      <c r="AS54" s="91"/>
    </row>
    <row r="55" customFormat="false" ht="12" hidden="false" customHeight="true" outlineLevel="0" collapsed="false">
      <c r="A55" s="85"/>
      <c r="B55" s="94"/>
      <c r="C55" s="95"/>
      <c r="D55" s="46"/>
      <c r="E55" s="46"/>
      <c r="F55" s="46"/>
      <c r="G55" s="46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9"/>
      <c r="AA55" s="88"/>
      <c r="AB55" s="90"/>
      <c r="AC55" s="93"/>
      <c r="AD55" s="93"/>
      <c r="AE55" s="91"/>
      <c r="AF55" s="91"/>
      <c r="AG55" s="91"/>
      <c r="AH55" s="91"/>
      <c r="AI55" s="91"/>
      <c r="AJ55" s="91"/>
      <c r="AK55" s="91"/>
      <c r="AL55" s="91"/>
      <c r="AM55" s="91"/>
      <c r="AN55" s="91"/>
      <c r="AO55" s="91"/>
      <c r="AP55" s="93"/>
      <c r="AQ55" s="91"/>
      <c r="AR55" s="91"/>
      <c r="AS55" s="91"/>
    </row>
    <row r="56" customFormat="false" ht="14.25" hidden="false" customHeight="true" outlineLevel="0" collapsed="false">
      <c r="A56" s="85"/>
      <c r="B56" s="94"/>
      <c r="C56" s="95"/>
      <c r="D56" s="46"/>
      <c r="E56" s="46"/>
      <c r="F56" s="46"/>
      <c r="G56" s="46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9"/>
      <c r="AA56" s="88"/>
      <c r="AB56" s="90"/>
      <c r="AC56" s="91"/>
      <c r="AD56" s="91"/>
      <c r="AE56" s="91"/>
      <c r="AF56" s="91"/>
      <c r="AG56" s="91"/>
      <c r="AH56" s="91"/>
      <c r="AI56" s="91"/>
      <c r="AJ56" s="92"/>
      <c r="AK56" s="92"/>
      <c r="AL56" s="91"/>
      <c r="AM56" s="91"/>
      <c r="AN56" s="91"/>
      <c r="AO56" s="91"/>
      <c r="AP56" s="89"/>
      <c r="AQ56" s="91"/>
      <c r="AR56" s="91"/>
      <c r="AS56" s="91"/>
    </row>
    <row r="57" customFormat="false" ht="12" hidden="false" customHeight="true" outlineLevel="0" collapsed="false">
      <c r="A57" s="85"/>
      <c r="B57" s="94"/>
      <c r="C57" s="95"/>
      <c r="D57" s="46"/>
      <c r="E57" s="46"/>
      <c r="F57" s="46"/>
      <c r="G57" s="46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9"/>
      <c r="AA57" s="88"/>
      <c r="AB57" s="90"/>
      <c r="AC57" s="93"/>
      <c r="AD57" s="93"/>
      <c r="AE57" s="91"/>
      <c r="AF57" s="91"/>
      <c r="AG57" s="91"/>
      <c r="AH57" s="91"/>
      <c r="AI57" s="91"/>
      <c r="AJ57" s="91"/>
      <c r="AK57" s="91"/>
      <c r="AL57" s="91"/>
      <c r="AM57" s="91"/>
      <c r="AN57" s="91"/>
      <c r="AO57" s="91"/>
      <c r="AP57" s="89"/>
      <c r="AQ57" s="91"/>
      <c r="AR57" s="91"/>
      <c r="AS57" s="91"/>
    </row>
    <row r="58" customFormat="false" ht="12" hidden="false" customHeight="true" outlineLevel="0" collapsed="false">
      <c r="A58" s="85"/>
      <c r="B58" s="94"/>
      <c r="C58" s="95"/>
      <c r="D58" s="46"/>
      <c r="E58" s="46"/>
      <c r="F58" s="46"/>
      <c r="G58" s="46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9"/>
      <c r="AA58" s="88"/>
      <c r="AB58" s="90"/>
      <c r="AC58" s="93"/>
      <c r="AD58" s="93"/>
      <c r="AE58" s="91"/>
      <c r="AF58" s="91"/>
      <c r="AG58" s="91"/>
      <c r="AH58" s="91"/>
      <c r="AI58" s="91"/>
      <c r="AJ58" s="91"/>
      <c r="AK58" s="91"/>
      <c r="AL58" s="91"/>
      <c r="AM58" s="91"/>
      <c r="AN58" s="91"/>
      <c r="AO58" s="91"/>
      <c r="AP58" s="93"/>
      <c r="AQ58" s="91"/>
      <c r="AR58" s="91"/>
      <c r="AS58" s="91"/>
    </row>
    <row r="59" customFormat="false" ht="12" hidden="false" customHeight="true" outlineLevel="0" collapsed="false">
      <c r="A59" s="85"/>
      <c r="B59" s="94"/>
      <c r="C59" s="95"/>
      <c r="D59" s="46"/>
      <c r="E59" s="46"/>
      <c r="F59" s="46"/>
      <c r="G59" s="46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9"/>
      <c r="AA59" s="88"/>
      <c r="AB59" s="90"/>
      <c r="AC59" s="91"/>
      <c r="AD59" s="91"/>
      <c r="AE59" s="91"/>
      <c r="AF59" s="91"/>
      <c r="AG59" s="91"/>
      <c r="AH59" s="91"/>
      <c r="AI59" s="91"/>
      <c r="AJ59" s="91"/>
      <c r="AK59" s="91"/>
      <c r="AL59" s="91"/>
      <c r="AM59" s="91"/>
      <c r="AN59" s="91"/>
      <c r="AO59" s="91"/>
      <c r="AP59" s="89"/>
      <c r="AQ59" s="91"/>
      <c r="AR59" s="91"/>
      <c r="AS59" s="91"/>
    </row>
    <row r="60" customFormat="false" ht="11.25" hidden="false" customHeight="true" outlineLevel="0" collapsed="false">
      <c r="A60" s="85"/>
      <c r="B60" s="94"/>
      <c r="C60" s="95"/>
      <c r="D60" s="46"/>
      <c r="E60" s="46"/>
      <c r="F60" s="46"/>
      <c r="G60" s="46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9"/>
      <c r="AA60" s="88"/>
      <c r="AB60" s="90"/>
      <c r="AC60" s="93"/>
      <c r="AD60" s="93"/>
      <c r="AE60" s="91"/>
      <c r="AF60" s="91"/>
      <c r="AG60" s="91"/>
      <c r="AH60" s="91"/>
      <c r="AI60" s="91"/>
      <c r="AJ60" s="91"/>
      <c r="AK60" s="91"/>
      <c r="AL60" s="91"/>
      <c r="AM60" s="91"/>
      <c r="AN60" s="91"/>
      <c r="AO60" s="91"/>
      <c r="AP60" s="89"/>
      <c r="AQ60" s="91"/>
      <c r="AR60" s="91"/>
      <c r="AS60" s="91"/>
    </row>
    <row r="61" customFormat="false" ht="11.25" hidden="false" customHeight="true" outlineLevel="0" collapsed="false">
      <c r="A61" s="85"/>
      <c r="B61" s="94"/>
      <c r="C61" s="95"/>
      <c r="D61" s="46"/>
      <c r="E61" s="46"/>
      <c r="F61" s="46"/>
      <c r="G61" s="46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9"/>
      <c r="AA61" s="88"/>
      <c r="AB61" s="90"/>
      <c r="AC61" s="93"/>
      <c r="AD61" s="93"/>
      <c r="AE61" s="91"/>
      <c r="AF61" s="91"/>
      <c r="AG61" s="91"/>
      <c r="AH61" s="91"/>
      <c r="AI61" s="91"/>
      <c r="AJ61" s="91"/>
      <c r="AK61" s="91"/>
      <c r="AL61" s="91"/>
      <c r="AM61" s="91"/>
      <c r="AN61" s="91"/>
      <c r="AO61" s="91"/>
      <c r="AP61" s="93"/>
      <c r="AQ61" s="91"/>
      <c r="AR61" s="91"/>
      <c r="AS61" s="91"/>
    </row>
    <row r="62" customFormat="false" ht="14.25" hidden="false" customHeight="true" outlineLevel="0" collapsed="false">
      <c r="A62" s="85"/>
      <c r="B62" s="94"/>
      <c r="C62" s="95"/>
      <c r="D62" s="46"/>
      <c r="E62" s="46"/>
      <c r="F62" s="46"/>
      <c r="G62" s="46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9"/>
      <c r="AA62" s="88"/>
      <c r="AB62" s="90"/>
      <c r="AC62" s="91"/>
      <c r="AD62" s="91"/>
      <c r="AE62" s="91"/>
      <c r="AF62" s="91"/>
      <c r="AG62" s="91"/>
      <c r="AH62" s="91"/>
      <c r="AI62" s="91"/>
      <c r="AJ62" s="92"/>
      <c r="AK62" s="92"/>
      <c r="AL62" s="91"/>
      <c r="AM62" s="91"/>
      <c r="AN62" s="91"/>
      <c r="AO62" s="91"/>
      <c r="AP62" s="89"/>
      <c r="AQ62" s="91"/>
      <c r="AR62" s="91"/>
      <c r="AS62" s="91"/>
    </row>
    <row r="63" customFormat="false" ht="12.75" hidden="false" customHeight="true" outlineLevel="0" collapsed="false">
      <c r="A63" s="85"/>
      <c r="B63" s="94"/>
      <c r="C63" s="95"/>
      <c r="D63" s="46"/>
      <c r="E63" s="46"/>
      <c r="F63" s="46"/>
      <c r="G63" s="46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9"/>
      <c r="AA63" s="88"/>
      <c r="AB63" s="90"/>
      <c r="AC63" s="93"/>
      <c r="AD63" s="93"/>
      <c r="AE63" s="91"/>
      <c r="AF63" s="91"/>
      <c r="AG63" s="91"/>
      <c r="AH63" s="91"/>
      <c r="AI63" s="91"/>
      <c r="AJ63" s="91"/>
      <c r="AK63" s="91"/>
      <c r="AL63" s="91"/>
      <c r="AM63" s="91"/>
      <c r="AN63" s="91"/>
      <c r="AO63" s="91"/>
      <c r="AP63" s="89"/>
      <c r="AQ63" s="91"/>
      <c r="AR63" s="91"/>
      <c r="AS63" s="91"/>
    </row>
    <row r="64" customFormat="false" ht="12.75" hidden="false" customHeight="true" outlineLevel="0" collapsed="false">
      <c r="A64" s="85"/>
      <c r="B64" s="94"/>
      <c r="C64" s="95"/>
      <c r="D64" s="46"/>
      <c r="E64" s="46"/>
      <c r="F64" s="46"/>
      <c r="G64" s="46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9"/>
      <c r="AA64" s="88"/>
      <c r="AB64" s="90"/>
      <c r="AC64" s="93"/>
      <c r="AD64" s="93"/>
      <c r="AE64" s="91"/>
      <c r="AF64" s="91"/>
      <c r="AG64" s="91"/>
      <c r="AH64" s="91"/>
      <c r="AI64" s="91"/>
      <c r="AJ64" s="91"/>
      <c r="AK64" s="91"/>
      <c r="AL64" s="91"/>
      <c r="AM64" s="91"/>
      <c r="AN64" s="91"/>
      <c r="AO64" s="91"/>
      <c r="AP64" s="89"/>
      <c r="AQ64" s="91"/>
      <c r="AR64" s="91"/>
      <c r="AS64" s="91"/>
    </row>
    <row r="65" customFormat="false" ht="14.25" hidden="false" customHeight="true" outlineLevel="0" collapsed="false">
      <c r="A65" s="85"/>
      <c r="B65" s="94"/>
      <c r="C65" s="95"/>
      <c r="D65" s="46"/>
      <c r="E65" s="46"/>
      <c r="F65" s="46"/>
      <c r="G65" s="46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9"/>
      <c r="AA65" s="88"/>
      <c r="AB65" s="90"/>
      <c r="AC65" s="91"/>
      <c r="AD65" s="91"/>
      <c r="AE65" s="91"/>
      <c r="AF65" s="91"/>
      <c r="AG65" s="91"/>
      <c r="AH65" s="91"/>
      <c r="AI65" s="91"/>
      <c r="AJ65" s="92"/>
      <c r="AK65" s="92"/>
      <c r="AL65" s="91"/>
      <c r="AM65" s="91"/>
      <c r="AN65" s="91"/>
      <c r="AO65" s="91"/>
      <c r="AP65" s="89"/>
      <c r="AQ65" s="91"/>
      <c r="AR65" s="91"/>
      <c r="AS65" s="91"/>
    </row>
    <row r="66" customFormat="false" ht="12" hidden="false" customHeight="true" outlineLevel="0" collapsed="false">
      <c r="A66" s="85"/>
      <c r="B66" s="94"/>
      <c r="C66" s="95"/>
      <c r="D66" s="46"/>
      <c r="E66" s="46"/>
      <c r="F66" s="46"/>
      <c r="G66" s="46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9"/>
      <c r="AA66" s="88"/>
      <c r="AB66" s="90"/>
      <c r="AC66" s="93"/>
      <c r="AD66" s="93"/>
      <c r="AE66" s="91"/>
      <c r="AF66" s="91"/>
      <c r="AG66" s="91"/>
      <c r="AH66" s="91"/>
      <c r="AI66" s="91"/>
      <c r="AJ66" s="91"/>
      <c r="AK66" s="91"/>
      <c r="AL66" s="91"/>
      <c r="AM66" s="91"/>
      <c r="AN66" s="91"/>
      <c r="AO66" s="91"/>
      <c r="AP66" s="89"/>
      <c r="AQ66" s="91"/>
      <c r="AR66" s="91"/>
      <c r="AS66" s="91"/>
    </row>
    <row r="67" customFormat="false" ht="12" hidden="false" customHeight="true" outlineLevel="0" collapsed="false">
      <c r="A67" s="85"/>
      <c r="B67" s="94"/>
      <c r="C67" s="95"/>
      <c r="D67" s="46"/>
      <c r="E67" s="46"/>
      <c r="F67" s="46"/>
      <c r="G67" s="46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9"/>
      <c r="AA67" s="88"/>
      <c r="AB67" s="90"/>
      <c r="AC67" s="93"/>
      <c r="AD67" s="93"/>
      <c r="AE67" s="91"/>
      <c r="AF67" s="91"/>
      <c r="AG67" s="91"/>
      <c r="AH67" s="91"/>
      <c r="AI67" s="91"/>
      <c r="AJ67" s="91"/>
      <c r="AK67" s="91"/>
      <c r="AL67" s="91"/>
      <c r="AM67" s="91"/>
      <c r="AN67" s="91"/>
      <c r="AO67" s="91"/>
      <c r="AP67" s="93"/>
      <c r="AQ67" s="91"/>
      <c r="AR67" s="91"/>
      <c r="AS67" s="91"/>
    </row>
    <row r="68" customFormat="false" ht="14.25" hidden="false" customHeight="true" outlineLevel="0" collapsed="false">
      <c r="A68" s="85"/>
      <c r="B68" s="94"/>
      <c r="C68" s="95"/>
      <c r="D68" s="46"/>
      <c r="E68" s="46"/>
      <c r="F68" s="46"/>
      <c r="G68" s="46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9"/>
      <c r="AA68" s="88"/>
      <c r="AB68" s="90"/>
      <c r="AC68" s="91"/>
      <c r="AD68" s="91"/>
      <c r="AE68" s="91"/>
      <c r="AF68" s="91"/>
      <c r="AG68" s="91"/>
      <c r="AH68" s="91"/>
      <c r="AI68" s="91"/>
      <c r="AJ68" s="91"/>
      <c r="AK68" s="91"/>
      <c r="AL68" s="91"/>
      <c r="AM68" s="91"/>
      <c r="AN68" s="91"/>
      <c r="AO68" s="91"/>
      <c r="AP68" s="89"/>
      <c r="AQ68" s="91"/>
      <c r="AR68" s="91"/>
      <c r="AS68" s="91"/>
    </row>
    <row r="69" customFormat="false" ht="12.75" hidden="false" customHeight="true" outlineLevel="0" collapsed="false">
      <c r="A69" s="85"/>
      <c r="B69" s="94"/>
      <c r="C69" s="95"/>
      <c r="D69" s="46"/>
      <c r="E69" s="46"/>
      <c r="F69" s="46"/>
      <c r="G69" s="46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9"/>
      <c r="AA69" s="88"/>
      <c r="AB69" s="90"/>
      <c r="AC69" s="93"/>
      <c r="AD69" s="93"/>
      <c r="AE69" s="91"/>
      <c r="AF69" s="91"/>
      <c r="AG69" s="91"/>
      <c r="AH69" s="91"/>
      <c r="AI69" s="91"/>
      <c r="AJ69" s="91"/>
      <c r="AK69" s="91"/>
      <c r="AL69" s="91"/>
      <c r="AM69" s="91"/>
      <c r="AN69" s="91"/>
      <c r="AO69" s="91"/>
      <c r="AP69" s="89"/>
      <c r="AQ69" s="91"/>
      <c r="AR69" s="91"/>
      <c r="AS69" s="91"/>
    </row>
    <row r="70" customFormat="false" ht="12" hidden="false" customHeight="true" outlineLevel="0" collapsed="false">
      <c r="A70" s="85"/>
      <c r="B70" s="94"/>
      <c r="C70" s="95"/>
      <c r="D70" s="46"/>
      <c r="E70" s="46"/>
      <c r="F70" s="46"/>
      <c r="G70" s="46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9"/>
      <c r="AA70" s="88"/>
      <c r="AB70" s="90"/>
      <c r="AC70" s="93"/>
      <c r="AD70" s="93"/>
      <c r="AE70" s="91"/>
      <c r="AF70" s="91"/>
      <c r="AG70" s="91"/>
      <c r="AH70" s="91"/>
      <c r="AI70" s="91"/>
      <c r="AJ70" s="91"/>
      <c r="AK70" s="91"/>
      <c r="AL70" s="91"/>
      <c r="AM70" s="91"/>
      <c r="AN70" s="91"/>
      <c r="AO70" s="91"/>
      <c r="AP70" s="93"/>
      <c r="AQ70" s="91"/>
      <c r="AR70" s="91"/>
      <c r="AS70" s="91"/>
    </row>
    <row r="71" customFormat="false" ht="14.25" hidden="true" customHeight="true" outlineLevel="0" collapsed="false">
      <c r="A71" s="96"/>
      <c r="B71" s="86"/>
      <c r="C71" s="87"/>
      <c r="D71" s="46"/>
      <c r="E71" s="46"/>
      <c r="F71" s="46"/>
      <c r="G71" s="46"/>
      <c r="H71" s="91"/>
      <c r="I71" s="91"/>
      <c r="J71" s="91"/>
      <c r="K71" s="91"/>
      <c r="L71" s="91"/>
      <c r="M71" s="91"/>
      <c r="N71" s="91"/>
      <c r="O71" s="91"/>
      <c r="P71" s="97"/>
      <c r="Q71" s="97"/>
      <c r="R71" s="97"/>
      <c r="S71" s="91"/>
      <c r="T71" s="91"/>
      <c r="U71" s="91"/>
      <c r="V71" s="91"/>
      <c r="W71" s="91"/>
      <c r="X71" s="91"/>
      <c r="Y71" s="98"/>
      <c r="AA71" s="84"/>
      <c r="AB71" s="99"/>
      <c r="AC71" s="100"/>
      <c r="AD71" s="100"/>
      <c r="AE71" s="97"/>
      <c r="AF71" s="97"/>
      <c r="AG71" s="97"/>
      <c r="AH71" s="97"/>
      <c r="AI71" s="97"/>
      <c r="AJ71" s="97"/>
      <c r="AK71" s="97"/>
      <c r="AL71" s="97"/>
      <c r="AM71" s="97"/>
      <c r="AN71" s="97"/>
      <c r="AO71" s="97"/>
      <c r="AP71" s="100"/>
      <c r="AQ71" s="97"/>
      <c r="AR71" s="97"/>
      <c r="AS71" s="97"/>
    </row>
    <row r="72" customFormat="false" ht="12.75" hidden="true" customHeight="true" outlineLevel="0" collapsed="false">
      <c r="A72" s="96"/>
      <c r="B72" s="86"/>
      <c r="C72" s="87"/>
      <c r="D72" s="46"/>
      <c r="E72" s="46"/>
      <c r="F72" s="46"/>
      <c r="G72" s="46"/>
      <c r="H72" s="91"/>
      <c r="I72" s="91"/>
      <c r="J72" s="91"/>
      <c r="K72" s="91"/>
      <c r="L72" s="91"/>
      <c r="M72" s="91"/>
      <c r="N72" s="91"/>
      <c r="O72" s="91"/>
      <c r="P72" s="97"/>
      <c r="Q72" s="97"/>
      <c r="R72" s="97"/>
      <c r="S72" s="91"/>
      <c r="T72" s="91"/>
      <c r="U72" s="91"/>
      <c r="V72" s="91"/>
      <c r="W72" s="91"/>
      <c r="X72" s="91"/>
      <c r="Y72" s="98"/>
      <c r="AA72" s="84"/>
      <c r="AB72" s="97"/>
      <c r="AC72" s="100"/>
      <c r="AD72" s="100"/>
      <c r="AE72" s="97"/>
      <c r="AF72" s="97"/>
      <c r="AG72" s="97"/>
      <c r="AH72" s="97"/>
      <c r="AI72" s="97"/>
      <c r="AJ72" s="97"/>
      <c r="AK72" s="97"/>
      <c r="AL72" s="97"/>
      <c r="AM72" s="97"/>
      <c r="AN72" s="97"/>
      <c r="AO72" s="97"/>
      <c r="AP72" s="100"/>
      <c r="AQ72" s="97"/>
      <c r="AR72" s="97"/>
      <c r="AS72" s="97"/>
    </row>
    <row r="73" customFormat="false" ht="12.75" hidden="true" customHeight="true" outlineLevel="0" collapsed="false">
      <c r="A73" s="96"/>
      <c r="B73" s="86"/>
      <c r="C73" s="87"/>
      <c r="D73" s="46"/>
      <c r="E73" s="46"/>
      <c r="F73" s="46"/>
      <c r="G73" s="46"/>
      <c r="H73" s="91"/>
      <c r="I73" s="91"/>
      <c r="J73" s="91"/>
      <c r="K73" s="91"/>
      <c r="L73" s="91"/>
      <c r="M73" s="91"/>
      <c r="N73" s="91"/>
      <c r="O73" s="91"/>
      <c r="P73" s="97"/>
      <c r="Q73" s="97"/>
      <c r="R73" s="97"/>
      <c r="S73" s="91"/>
      <c r="T73" s="91"/>
      <c r="U73" s="91"/>
      <c r="V73" s="91"/>
      <c r="W73" s="91"/>
      <c r="X73" s="91"/>
      <c r="Y73" s="98"/>
      <c r="AA73" s="84"/>
      <c r="AB73" s="97"/>
      <c r="AC73" s="100"/>
      <c r="AD73" s="100"/>
      <c r="AE73" s="97"/>
      <c r="AF73" s="97"/>
      <c r="AG73" s="97"/>
      <c r="AH73" s="97"/>
      <c r="AI73" s="97"/>
      <c r="AJ73" s="97"/>
      <c r="AK73" s="97"/>
      <c r="AL73" s="97"/>
      <c r="AM73" s="97"/>
      <c r="AN73" s="97"/>
      <c r="AO73" s="97"/>
      <c r="AP73" s="100"/>
      <c r="AQ73" s="97"/>
      <c r="AR73" s="97"/>
      <c r="AS73" s="97"/>
    </row>
    <row r="74" customFormat="false" ht="13.5" hidden="true" customHeight="true" outlineLevel="0" collapsed="false">
      <c r="A74" s="96"/>
      <c r="B74" s="86"/>
      <c r="C74" s="87"/>
      <c r="D74" s="46"/>
      <c r="E74" s="46"/>
      <c r="F74" s="46"/>
      <c r="G74" s="46"/>
      <c r="H74" s="91"/>
      <c r="I74" s="91"/>
      <c r="J74" s="91"/>
      <c r="K74" s="91"/>
      <c r="L74" s="91"/>
      <c r="M74" s="91"/>
      <c r="N74" s="91"/>
      <c r="O74" s="91"/>
      <c r="P74" s="97"/>
      <c r="Q74" s="97"/>
      <c r="R74" s="97"/>
      <c r="S74" s="91"/>
      <c r="T74" s="91"/>
      <c r="U74" s="91"/>
      <c r="V74" s="91"/>
      <c r="W74" s="91"/>
      <c r="X74" s="91"/>
      <c r="Y74" s="98"/>
      <c r="AA74" s="84"/>
      <c r="AB74" s="99"/>
      <c r="AC74" s="100"/>
      <c r="AD74" s="100"/>
      <c r="AE74" s="97"/>
      <c r="AF74" s="97"/>
      <c r="AG74" s="97"/>
      <c r="AH74" s="97"/>
      <c r="AI74" s="97"/>
      <c r="AJ74" s="97"/>
      <c r="AK74" s="97"/>
      <c r="AL74" s="97"/>
      <c r="AM74" s="97"/>
      <c r="AN74" s="97"/>
      <c r="AO74" s="97"/>
      <c r="AP74" s="100"/>
      <c r="AQ74" s="97"/>
      <c r="AR74" s="97"/>
      <c r="AS74" s="97"/>
    </row>
    <row r="75" customFormat="false" ht="13.5" hidden="true" customHeight="true" outlineLevel="0" collapsed="false">
      <c r="A75" s="96"/>
      <c r="B75" s="86"/>
      <c r="C75" s="87"/>
      <c r="D75" s="46"/>
      <c r="E75" s="46"/>
      <c r="F75" s="46"/>
      <c r="G75" s="46"/>
      <c r="H75" s="91"/>
      <c r="I75" s="91"/>
      <c r="J75" s="91"/>
      <c r="K75" s="91"/>
      <c r="L75" s="91"/>
      <c r="M75" s="91"/>
      <c r="N75" s="91"/>
      <c r="O75" s="91"/>
      <c r="P75" s="97"/>
      <c r="Q75" s="97"/>
      <c r="R75" s="97"/>
      <c r="S75" s="91"/>
      <c r="T75" s="91"/>
      <c r="U75" s="91"/>
      <c r="V75" s="91"/>
      <c r="W75" s="91"/>
      <c r="X75" s="91"/>
      <c r="Y75" s="98"/>
      <c r="AA75" s="84"/>
      <c r="AB75" s="97"/>
      <c r="AC75" s="100"/>
      <c r="AD75" s="100"/>
      <c r="AE75" s="97"/>
      <c r="AF75" s="97"/>
      <c r="AG75" s="97"/>
      <c r="AH75" s="97"/>
      <c r="AI75" s="97"/>
      <c r="AJ75" s="97"/>
      <c r="AK75" s="97"/>
      <c r="AL75" s="97"/>
      <c r="AM75" s="97"/>
      <c r="AN75" s="97"/>
      <c r="AO75" s="97"/>
      <c r="AP75" s="100"/>
      <c r="AQ75" s="97"/>
      <c r="AR75" s="97"/>
      <c r="AS75" s="97"/>
    </row>
    <row r="76" customFormat="false" ht="12" hidden="true" customHeight="true" outlineLevel="0" collapsed="false">
      <c r="A76" s="96"/>
      <c r="B76" s="86"/>
      <c r="C76" s="87"/>
      <c r="D76" s="46"/>
      <c r="E76" s="46"/>
      <c r="F76" s="46"/>
      <c r="G76" s="46"/>
      <c r="H76" s="91"/>
      <c r="I76" s="91"/>
      <c r="J76" s="91"/>
      <c r="K76" s="91"/>
      <c r="L76" s="91"/>
      <c r="M76" s="91"/>
      <c r="N76" s="91"/>
      <c r="O76" s="91"/>
      <c r="P76" s="97"/>
      <c r="Q76" s="97"/>
      <c r="R76" s="97"/>
      <c r="S76" s="91"/>
      <c r="T76" s="91"/>
      <c r="U76" s="91"/>
      <c r="V76" s="91"/>
      <c r="W76" s="91"/>
      <c r="X76" s="91"/>
      <c r="Y76" s="98"/>
      <c r="AA76" s="84"/>
      <c r="AB76" s="97"/>
      <c r="AC76" s="100"/>
      <c r="AD76" s="100"/>
      <c r="AE76" s="97"/>
      <c r="AF76" s="97"/>
      <c r="AG76" s="97"/>
      <c r="AH76" s="97"/>
      <c r="AI76" s="97"/>
      <c r="AJ76" s="97"/>
      <c r="AK76" s="97"/>
      <c r="AL76" s="97"/>
      <c r="AM76" s="97"/>
      <c r="AN76" s="97"/>
      <c r="AO76" s="97"/>
      <c r="AP76" s="100"/>
      <c r="AQ76" s="97"/>
      <c r="AR76" s="97"/>
      <c r="AS76" s="97"/>
    </row>
    <row r="77" customFormat="false" ht="12.75" hidden="true" customHeight="true" outlineLevel="0" collapsed="false">
      <c r="A77" s="96"/>
      <c r="B77" s="86"/>
      <c r="C77" s="87"/>
      <c r="D77" s="46"/>
      <c r="E77" s="46"/>
      <c r="F77" s="46"/>
      <c r="G77" s="46"/>
      <c r="H77" s="91"/>
      <c r="I77" s="91"/>
      <c r="J77" s="91"/>
      <c r="K77" s="91"/>
      <c r="L77" s="91"/>
      <c r="M77" s="91"/>
      <c r="N77" s="91"/>
      <c r="O77" s="91"/>
      <c r="P77" s="97"/>
      <c r="Q77" s="97"/>
      <c r="R77" s="97"/>
      <c r="S77" s="91"/>
      <c r="T77" s="91"/>
      <c r="U77" s="91"/>
      <c r="V77" s="91"/>
      <c r="W77" s="91"/>
      <c r="X77" s="91"/>
      <c r="Y77" s="98"/>
      <c r="AA77" s="84"/>
      <c r="AB77" s="99"/>
      <c r="AC77" s="100"/>
      <c r="AD77" s="100"/>
      <c r="AE77" s="97"/>
      <c r="AF77" s="97"/>
      <c r="AG77" s="97"/>
      <c r="AH77" s="97"/>
      <c r="AI77" s="97"/>
      <c r="AJ77" s="97"/>
      <c r="AK77" s="97"/>
      <c r="AL77" s="97"/>
      <c r="AM77" s="97"/>
      <c r="AN77" s="97"/>
      <c r="AO77" s="97"/>
      <c r="AP77" s="100"/>
      <c r="AQ77" s="97"/>
      <c r="AR77" s="97"/>
      <c r="AS77" s="97"/>
    </row>
    <row r="78" customFormat="false" ht="13.5" hidden="true" customHeight="true" outlineLevel="0" collapsed="false">
      <c r="A78" s="96"/>
      <c r="B78" s="86"/>
      <c r="C78" s="87"/>
      <c r="D78" s="46"/>
      <c r="E78" s="46"/>
      <c r="F78" s="46"/>
      <c r="G78" s="46"/>
      <c r="H78" s="91"/>
      <c r="I78" s="91"/>
      <c r="J78" s="91"/>
      <c r="K78" s="91"/>
      <c r="L78" s="91"/>
      <c r="M78" s="91"/>
      <c r="N78" s="91"/>
      <c r="O78" s="91"/>
      <c r="P78" s="97"/>
      <c r="Q78" s="97"/>
      <c r="R78" s="97"/>
      <c r="S78" s="91"/>
      <c r="T78" s="91"/>
      <c r="U78" s="91"/>
      <c r="V78" s="91"/>
      <c r="W78" s="91"/>
      <c r="X78" s="91"/>
      <c r="Y78" s="98"/>
      <c r="AA78" s="84"/>
      <c r="AB78" s="97"/>
      <c r="AC78" s="100"/>
      <c r="AD78" s="100"/>
      <c r="AE78" s="97"/>
      <c r="AF78" s="97"/>
      <c r="AG78" s="97"/>
      <c r="AH78" s="97"/>
      <c r="AI78" s="97"/>
      <c r="AJ78" s="97"/>
      <c r="AK78" s="97"/>
      <c r="AL78" s="97"/>
      <c r="AM78" s="97"/>
      <c r="AN78" s="97"/>
      <c r="AO78" s="97"/>
      <c r="AP78" s="100"/>
      <c r="AQ78" s="97"/>
      <c r="AR78" s="97"/>
      <c r="AS78" s="97"/>
    </row>
    <row r="79" customFormat="false" ht="12" hidden="true" customHeight="true" outlineLevel="0" collapsed="false">
      <c r="A79" s="96"/>
      <c r="B79" s="86"/>
      <c r="C79" s="87"/>
      <c r="D79" s="46"/>
      <c r="E79" s="46"/>
      <c r="F79" s="46"/>
      <c r="G79" s="46"/>
      <c r="H79" s="91"/>
      <c r="I79" s="91"/>
      <c r="J79" s="91"/>
      <c r="K79" s="91"/>
      <c r="L79" s="91"/>
      <c r="M79" s="91"/>
      <c r="N79" s="91"/>
      <c r="O79" s="91"/>
      <c r="P79" s="97"/>
      <c r="Q79" s="97"/>
      <c r="R79" s="97"/>
      <c r="S79" s="91"/>
      <c r="T79" s="91"/>
      <c r="U79" s="91"/>
      <c r="V79" s="91"/>
      <c r="W79" s="91"/>
      <c r="X79" s="91"/>
      <c r="Y79" s="98"/>
      <c r="AA79" s="84"/>
      <c r="AB79" s="97"/>
      <c r="AC79" s="100"/>
      <c r="AD79" s="100"/>
      <c r="AE79" s="97"/>
      <c r="AF79" s="97"/>
      <c r="AG79" s="97"/>
      <c r="AH79" s="97"/>
      <c r="AI79" s="97"/>
      <c r="AJ79" s="97"/>
      <c r="AK79" s="97"/>
      <c r="AL79" s="97"/>
      <c r="AM79" s="97"/>
      <c r="AN79" s="97"/>
      <c r="AO79" s="97"/>
      <c r="AP79" s="100"/>
      <c r="AQ79" s="97"/>
      <c r="AR79" s="97"/>
      <c r="AS79" s="97"/>
    </row>
    <row r="80" customFormat="false" ht="14.25" hidden="true" customHeight="true" outlineLevel="0" collapsed="false">
      <c r="A80" s="96"/>
      <c r="B80" s="86"/>
      <c r="C80" s="87"/>
      <c r="D80" s="46"/>
      <c r="E80" s="46"/>
      <c r="F80" s="46"/>
      <c r="G80" s="46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8"/>
      <c r="AA80" s="84"/>
      <c r="AB80" s="99"/>
      <c r="AC80" s="100"/>
      <c r="AD80" s="100"/>
      <c r="AE80" s="97"/>
      <c r="AF80" s="97"/>
      <c r="AG80" s="97"/>
      <c r="AH80" s="97"/>
      <c r="AI80" s="97"/>
      <c r="AJ80" s="97"/>
      <c r="AK80" s="97"/>
      <c r="AL80" s="97"/>
      <c r="AM80" s="97"/>
      <c r="AN80" s="97"/>
      <c r="AO80" s="97"/>
      <c r="AP80" s="100"/>
      <c r="AQ80" s="97"/>
      <c r="AR80" s="97"/>
      <c r="AS80" s="97"/>
    </row>
    <row r="81" customFormat="false" ht="19.5" hidden="true" customHeight="true" outlineLevel="0" collapsed="false">
      <c r="A81" s="96"/>
      <c r="B81" s="86"/>
      <c r="C81" s="87"/>
      <c r="D81" s="46"/>
      <c r="E81" s="46"/>
      <c r="F81" s="46"/>
      <c r="G81" s="46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8"/>
      <c r="AA81" s="84"/>
      <c r="AB81" s="97"/>
      <c r="AC81" s="100"/>
      <c r="AD81" s="100"/>
      <c r="AE81" s="97"/>
      <c r="AF81" s="97"/>
      <c r="AG81" s="97"/>
      <c r="AH81" s="97"/>
      <c r="AI81" s="97"/>
      <c r="AJ81" s="97"/>
      <c r="AK81" s="97"/>
      <c r="AL81" s="97"/>
      <c r="AM81" s="97"/>
      <c r="AN81" s="97"/>
      <c r="AO81" s="97"/>
      <c r="AP81" s="100"/>
      <c r="AQ81" s="97"/>
      <c r="AR81" s="97"/>
      <c r="AS81" s="97"/>
    </row>
    <row r="82" customFormat="false" ht="12" hidden="true" customHeight="true" outlineLevel="0" collapsed="false">
      <c r="A82" s="96"/>
      <c r="B82" s="86"/>
      <c r="C82" s="87"/>
      <c r="D82" s="46"/>
      <c r="E82" s="46"/>
      <c r="F82" s="46"/>
      <c r="G82" s="46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8"/>
      <c r="AA82" s="84"/>
      <c r="AB82" s="97"/>
      <c r="AC82" s="100"/>
      <c r="AD82" s="100"/>
      <c r="AE82" s="97"/>
      <c r="AF82" s="97"/>
      <c r="AG82" s="97"/>
      <c r="AH82" s="97"/>
      <c r="AI82" s="97"/>
      <c r="AJ82" s="97"/>
      <c r="AK82" s="97"/>
      <c r="AL82" s="97"/>
      <c r="AM82" s="97"/>
      <c r="AN82" s="97"/>
      <c r="AO82" s="97"/>
      <c r="AP82" s="100"/>
      <c r="AQ82" s="97"/>
      <c r="AR82" s="97"/>
      <c r="AS82" s="97"/>
    </row>
    <row r="83" customFormat="false" ht="70.5" hidden="false" customHeight="true" outlineLevel="0" collapsed="false"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89"/>
      <c r="AO83" s="89"/>
      <c r="AP83" s="89"/>
      <c r="AQ83" s="89"/>
      <c r="AR83" s="89"/>
      <c r="AS83" s="89"/>
    </row>
    <row r="84" customFormat="false" ht="13.5" hidden="false" customHeight="true" outlineLevel="0" collapsed="false">
      <c r="B84" s="101"/>
      <c r="C84" s="101"/>
      <c r="D84" s="101"/>
      <c r="E84" s="101"/>
      <c r="F84" s="101"/>
      <c r="G84" s="101"/>
      <c r="H84" s="102"/>
      <c r="I84" s="102"/>
      <c r="J84" s="102"/>
      <c r="K84" s="102"/>
      <c r="L84" s="102"/>
      <c r="M84" s="102"/>
      <c r="N84" s="102"/>
      <c r="O84" s="102"/>
      <c r="P84" s="102"/>
      <c r="Q84" s="103"/>
      <c r="R84" s="102"/>
      <c r="S84" s="102"/>
      <c r="T84" s="102"/>
      <c r="U84" s="102"/>
      <c r="V84" s="102"/>
      <c r="W84" s="102"/>
      <c r="X84" s="102"/>
      <c r="Y84" s="102"/>
      <c r="Z84" s="101"/>
      <c r="AA84" s="101"/>
      <c r="AB84" s="89"/>
      <c r="AC84" s="89"/>
      <c r="AD84" s="89"/>
      <c r="AE84" s="101"/>
      <c r="AF84" s="89"/>
      <c r="AG84" s="89"/>
      <c r="AH84" s="89"/>
      <c r="AI84" s="101"/>
      <c r="AJ84" s="101"/>
      <c r="AK84" s="101"/>
      <c r="AL84" s="101"/>
      <c r="AM84" s="104"/>
      <c r="AN84" s="104"/>
      <c r="AO84" s="104"/>
      <c r="AP84" s="89"/>
      <c r="AQ84" s="89"/>
      <c r="AR84" s="89"/>
      <c r="AS84" s="89"/>
    </row>
    <row r="85" customFormat="false" ht="10.5" hidden="true" customHeight="true" outlineLevel="0" collapsed="false"/>
    <row r="86" customFormat="false" ht="39.75" hidden="false" customHeight="true" outlineLevel="0" collapsed="false"/>
    <row r="87" customFormat="false" ht="35.25" hidden="false" customHeight="true" outlineLevel="0" collapsed="false"/>
    <row r="88" customFormat="false" ht="3" hidden="true" customHeight="true" outlineLevel="0" collapsed="false"/>
    <row r="89" customFormat="false" ht="14.25" hidden="false" customHeight="true" outlineLevel="0" collapsed="false"/>
    <row r="90" customFormat="false" ht="13.5" hidden="false" customHeight="true" outlineLevel="0" collapsed="false"/>
    <row r="91" customFormat="false" ht="15" hidden="false" customHeight="true" outlineLevel="0" collapsed="false"/>
    <row r="92" customFormat="false" ht="14.25" hidden="false" customHeight="true" outlineLevel="0" collapsed="false"/>
    <row r="94" customFormat="false" ht="52.5" hidden="false" customHeight="true" outlineLevel="0" collapsed="false"/>
    <row r="95" customFormat="false" ht="49.5" hidden="false" customHeight="true" outlineLevel="0" collapsed="false"/>
    <row r="96" customFormat="false" ht="64.5" hidden="false" customHeight="true" outlineLevel="0" collapsed="false"/>
    <row r="97" customFormat="false" ht="15" hidden="false" customHeight="true" outlineLevel="0" collapsed="false"/>
    <row r="98" customFormat="false" ht="12.75" hidden="false" customHeight="true" outlineLevel="0" collapsed="false"/>
    <row r="99" customFormat="false" ht="12" hidden="false" customHeight="true" outlineLevel="0" collapsed="false"/>
    <row r="100" customFormat="false" ht="13.5" hidden="false" customHeight="true" outlineLevel="0" collapsed="false"/>
    <row r="101" customFormat="false" ht="14.25" hidden="false" customHeight="true" outlineLevel="0" collapsed="false"/>
    <row r="102" customFormat="false" ht="12.75" hidden="false" customHeight="true" outlineLevel="0" collapsed="false"/>
    <row r="103" customFormat="false" ht="14.25" hidden="false" customHeight="true" outlineLevel="0" collapsed="false"/>
    <row r="104" customFormat="false" ht="12.75" hidden="false" customHeight="true" outlineLevel="0" collapsed="false"/>
    <row r="105" customFormat="false" ht="12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2" hidden="false" customHeight="true" outlineLevel="0" collapsed="false"/>
    <row r="109" customFormat="false" ht="14.25" hidden="false" customHeight="true" outlineLevel="0" collapsed="false"/>
    <row r="110" customFormat="false" ht="11.25" hidden="false" customHeight="true" outlineLevel="0" collapsed="false"/>
    <row r="111" customFormat="false" ht="13.5" hidden="false" customHeight="true" outlineLevel="0" collapsed="false"/>
    <row r="112" customFormat="false" ht="14.25" hidden="false" customHeight="true" outlineLevel="0" collapsed="false"/>
    <row r="113" customFormat="false" ht="13.5" hidden="false" customHeight="true" outlineLevel="0" collapsed="false"/>
    <row r="114" customFormat="false" ht="14.2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" hidden="false" customHeight="true" outlineLevel="0" collapsed="false"/>
    <row r="118" customFormat="false" ht="14.25" hidden="false" customHeight="true" outlineLevel="0" collapsed="false"/>
    <row r="119" customFormat="false" ht="12" hidden="false" customHeight="true" outlineLevel="0" collapsed="false"/>
    <row r="120" customFormat="false" ht="12.75" hidden="false" customHeight="true" outlineLevel="0" collapsed="false"/>
    <row r="121" customFormat="false" ht="14.25" hidden="false" customHeight="true" outlineLevel="0" collapsed="false"/>
    <row r="122" customFormat="false" ht="12.75" hidden="false" customHeight="true" outlineLevel="0" collapsed="false"/>
    <row r="123" customFormat="false" ht="11.25" hidden="false" customHeight="true" outlineLevel="0" collapsed="false"/>
    <row r="124" customFormat="false" ht="12.75" hidden="false" customHeight="true" outlineLevel="0" collapsed="false"/>
    <row r="125" customFormat="false" ht="14.25" hidden="false" customHeight="true" outlineLevel="0" collapsed="false"/>
    <row r="126" customFormat="false" ht="11.25" hidden="false" customHeight="true" outlineLevel="0" collapsed="false"/>
    <row r="127" customFormat="false" ht="14.25" hidden="false" customHeight="true" outlineLevel="0" collapsed="false"/>
    <row r="128" customFormat="false" ht="12.75" hidden="false" customHeight="true" outlineLevel="0" collapsed="false"/>
    <row r="129" customFormat="false" ht="11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2.7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2.75" hidden="false" customHeight="true" outlineLevel="0" collapsed="false"/>
    <row r="136" customFormat="false" ht="31.5" hidden="false" customHeight="true" outlineLevel="0" collapsed="false"/>
    <row r="145" customFormat="false" ht="75.75" hidden="false" customHeight="true" outlineLevel="0" collapsed="false"/>
    <row r="148" customFormat="false" ht="97.5" hidden="false" customHeight="true" outlineLevel="0" collapsed="false"/>
    <row r="151" customFormat="false" ht="336" hidden="false" customHeight="true" outlineLevel="0" collapsed="false"/>
    <row r="159" customFormat="false" ht="76.5" hidden="false" customHeight="true" outlineLevel="0" collapsed="false"/>
    <row r="160" customFormat="false" ht="66.75" hidden="false" customHeight="true" outlineLevel="0" collapsed="false"/>
    <row r="161" customFormat="false" ht="62.25" hidden="false" customHeight="true" outlineLevel="0" collapsed="false"/>
    <row r="180" customFormat="false" ht="15" hidden="false" customHeight="true" outlineLevel="0" collapsed="false"/>
    <row r="181" customFormat="false" ht="15" hidden="false" customHeight="true" outlineLevel="0" collapsed="false"/>
    <row r="182" customFormat="false" ht="15" hidden="false" customHeight="true" outlineLevel="0" collapsed="false"/>
    <row r="198" customFormat="false" ht="27" hidden="false" customHeight="true" outlineLevel="0" collapsed="false"/>
    <row r="199" customFormat="false" ht="12.75" hidden="false" customHeight="true" outlineLevel="0" collapsed="false"/>
    <row r="201" customFormat="false" ht="30.75" hidden="false" customHeight="true" outlineLevel="0" collapsed="false"/>
    <row r="207" customFormat="false" ht="77.25" hidden="false" customHeight="true" outlineLevel="0" collapsed="false"/>
    <row r="208" customFormat="false" ht="81.75" hidden="false" customHeight="true" outlineLevel="0" collapsed="false"/>
    <row r="209" customFormat="false" ht="67.5" hidden="false" customHeight="true" outlineLevel="0" collapsed="false"/>
    <row r="210" customFormat="false" ht="15" hidden="false" customHeight="true" outlineLevel="0" collapsed="false"/>
    <row r="211" customFormat="false" ht="15" hidden="false" customHeight="true" outlineLevel="0" collapsed="false"/>
    <row r="212" customFormat="false" ht="15" hidden="false" customHeight="true" outlineLevel="0" collapsed="false"/>
    <row r="213" customFormat="false" ht="15" hidden="false" customHeight="true" outlineLevel="0" collapsed="false"/>
    <row r="214" customFormat="false" ht="15" hidden="false" customHeight="true" outlineLevel="0" collapsed="false"/>
    <row r="215" customFormat="false" ht="15" hidden="false" customHeight="true" outlineLevel="0" collapsed="false"/>
    <row r="216" customFormat="false" ht="15" hidden="false" customHeight="true" outlineLevel="0" collapsed="false"/>
    <row r="217" customFormat="false" ht="15" hidden="false" customHeight="true" outlineLevel="0" collapsed="false"/>
    <row r="218" customFormat="false" ht="15" hidden="false" customHeight="true" outlineLevel="0" collapsed="false"/>
    <row r="219" customFormat="false" ht="15" hidden="false" customHeight="true" outlineLevel="0" collapsed="false"/>
    <row r="220" customFormat="false" ht="15" hidden="false" customHeight="true" outlineLevel="0" collapsed="false"/>
    <row r="221" customFormat="false" ht="15" hidden="false" customHeight="true" outlineLevel="0" collapsed="false"/>
    <row r="222" customFormat="false" ht="15" hidden="false" customHeight="true" outlineLevel="0" collapsed="false"/>
    <row r="223" customFormat="false" ht="15" hidden="false" customHeight="true" outlineLevel="0" collapsed="false"/>
    <row r="224" customFormat="false" ht="15" hidden="false" customHeight="true" outlineLevel="0" collapsed="false"/>
    <row r="225" customFormat="false" ht="15" hidden="false" customHeight="true" outlineLevel="0" collapsed="false"/>
    <row r="226" customFormat="false" ht="15" hidden="false" customHeight="true" outlineLevel="0" collapsed="false"/>
    <row r="227" customFormat="false" ht="15" hidden="false" customHeight="true" outlineLevel="0" collapsed="false"/>
    <row r="228" customFormat="false" ht="15" hidden="false" customHeight="true" outlineLevel="0" collapsed="false"/>
    <row r="229" customFormat="false" ht="15" hidden="false" customHeight="true" outlineLevel="0" collapsed="false"/>
    <row r="230" customFormat="false" ht="15" hidden="false" customHeight="true" outlineLevel="0" collapsed="false"/>
    <row r="249" customFormat="false" ht="51" hidden="false" customHeight="true" outlineLevel="0" collapsed="false"/>
    <row r="252" customFormat="false" ht="125.25" hidden="false" customHeight="true" outlineLevel="0" collapsed="false"/>
    <row r="254" customFormat="false" ht="2.25" hidden="false" customHeight="true" outlineLevel="0" collapsed="false"/>
    <row r="255" customFormat="false" ht="15.7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2.75" hidden="false" customHeight="true" outlineLevel="0" collapsed="false"/>
    <row r="259" customFormat="false" ht="12" hidden="false" customHeight="true" outlineLevel="0" collapsed="false"/>
    <row r="262" customFormat="false" ht="64.5" hidden="false" customHeight="true" outlineLevel="0" collapsed="false"/>
    <row r="269" customFormat="false" ht="9.75" hidden="false" customHeight="true" outlineLevel="0" collapsed="false"/>
    <row r="270" customFormat="false" ht="10.5" hidden="false" customHeight="true" outlineLevel="0" collapsed="false"/>
    <row r="271" customFormat="false" ht="9.75" hidden="false" customHeight="true" outlineLevel="0" collapsed="false"/>
    <row r="281" customFormat="false" ht="12.75" hidden="false" customHeight="true" outlineLevel="0" collapsed="false"/>
    <row r="282" customFormat="false" ht="13.5" hidden="false" customHeight="true" outlineLevel="0" collapsed="false"/>
    <row r="283" customFormat="false" ht="12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3" customFormat="false" ht="12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2" hidden="false" customHeight="true" outlineLevel="0" collapsed="false"/>
    <row r="299" customFormat="false" ht="42" hidden="false" customHeight="true" outlineLevel="0" collapsed="false"/>
    <row r="300" customFormat="false" ht="15" hidden="false" customHeight="true" outlineLevel="0" collapsed="false"/>
    <row r="341" customFormat="false" ht="14.25" hidden="true" customHeight="false" outlineLevel="0" collapsed="false"/>
    <row r="342" customFormat="false" ht="14.25" hidden="true" customHeight="false" outlineLevel="0" collapsed="false"/>
    <row r="343" customFormat="false" ht="14.25" hidden="true" customHeight="false" outlineLevel="0" collapsed="false"/>
    <row r="344" customFormat="false" ht="14.25" hidden="true" customHeight="false" outlineLevel="0" collapsed="false"/>
    <row r="345" customFormat="false" ht="14.25" hidden="true" customHeight="false" outlineLevel="0" collapsed="false"/>
    <row r="346" customFormat="false" ht="14.25" hidden="true" customHeight="false" outlineLevel="0" collapsed="false"/>
    <row r="347" customFormat="false" ht="14.25" hidden="true" customHeight="false" outlineLevel="0" collapsed="false"/>
    <row r="348" customFormat="false" ht="14.25" hidden="true" customHeight="false" outlineLevel="0" collapsed="false"/>
    <row r="349" customFormat="false" ht="14.25" hidden="true" customHeight="false" outlineLevel="0" collapsed="false"/>
    <row r="350" customFormat="false" ht="69.75" hidden="false" customHeight="true" outlineLevel="0" collapsed="false"/>
    <row r="685" customFormat="false" ht="14.25" hidden="false" customHeight="false" outlineLevel="0" collapsed="false">
      <c r="A685" s="105"/>
      <c r="B685" s="105"/>
      <c r="C685" s="105"/>
      <c r="D685" s="105"/>
      <c r="E685" s="105"/>
      <c r="F685" s="105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05"/>
      <c r="AA685" s="105"/>
      <c r="AB685" s="105"/>
      <c r="AC685" s="105"/>
      <c r="AD685" s="105"/>
      <c r="AE685" s="105"/>
      <c r="AF685" s="105"/>
      <c r="AG685" s="105"/>
      <c r="AH685" s="105"/>
      <c r="AI685" s="105"/>
      <c r="AJ685" s="105"/>
      <c r="AK685" s="105"/>
      <c r="AL685" s="105"/>
      <c r="AM685" s="105"/>
      <c r="AN685" s="105"/>
      <c r="AO685" s="105"/>
      <c r="AP685" s="105"/>
      <c r="AQ685" s="105"/>
      <c r="AR685" s="105"/>
      <c r="AS685" s="105"/>
    </row>
    <row r="686" customFormat="false" ht="14.25" hidden="false" customHeight="false" outlineLevel="0" collapsed="false">
      <c r="A686" s="105"/>
      <c r="B686" s="105"/>
      <c r="C686" s="105"/>
      <c r="D686" s="105"/>
      <c r="E686" s="105"/>
      <c r="F686" s="105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05"/>
      <c r="AA686" s="105"/>
      <c r="AB686" s="105"/>
      <c r="AC686" s="105"/>
      <c r="AD686" s="105"/>
      <c r="AE686" s="105"/>
      <c r="AF686" s="105"/>
      <c r="AG686" s="105"/>
      <c r="AH686" s="105"/>
      <c r="AI686" s="105"/>
      <c r="AJ686" s="105"/>
      <c r="AK686" s="105"/>
      <c r="AL686" s="105"/>
      <c r="AM686" s="105"/>
      <c r="AN686" s="105"/>
      <c r="AO686" s="105"/>
      <c r="AP686" s="105"/>
      <c r="AQ686" s="105"/>
      <c r="AR686" s="105"/>
      <c r="AS686" s="105"/>
    </row>
    <row r="687" customFormat="false" ht="17.25" hidden="false" customHeight="false" outlineLevel="0" collapsed="false">
      <c r="A687" s="106"/>
      <c r="B687" s="106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  <c r="AA687" s="106"/>
      <c r="AB687" s="106"/>
      <c r="AC687" s="106"/>
      <c r="AD687" s="106"/>
      <c r="AE687" s="106"/>
      <c r="AF687" s="106"/>
      <c r="AG687" s="106"/>
      <c r="AH687" s="106"/>
      <c r="AI687" s="106"/>
      <c r="AJ687" s="106"/>
      <c r="AK687" s="106"/>
      <c r="AL687" s="106"/>
      <c r="AM687" s="106"/>
      <c r="AN687" s="106"/>
      <c r="AO687" s="106"/>
      <c r="AP687" s="106"/>
      <c r="AQ687" s="106"/>
      <c r="AR687" s="106"/>
      <c r="AS687" s="106"/>
    </row>
    <row r="688" customFormat="false" ht="15" hidden="false" customHeight="false" outlineLevel="0" collapsed="false">
      <c r="A688" s="107"/>
      <c r="B688" s="107"/>
      <c r="C688" s="108"/>
      <c r="D688" s="109"/>
      <c r="E688" s="109"/>
      <c r="F688" s="109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  <c r="Y688" s="109"/>
      <c r="Z688" s="109"/>
      <c r="AA688" s="110"/>
      <c r="AB688" s="111"/>
      <c r="AC688" s="111"/>
      <c r="AD688" s="111"/>
      <c r="AE688" s="111"/>
      <c r="AF688" s="111"/>
      <c r="AG688" s="111"/>
      <c r="AH688" s="111"/>
      <c r="AI688" s="111"/>
      <c r="AJ688" s="111"/>
      <c r="AK688" s="111"/>
      <c r="AL688" s="111"/>
      <c r="AM688" s="112"/>
      <c r="AN688" s="113"/>
      <c r="AO688" s="113"/>
      <c r="AP688" s="114"/>
      <c r="AQ688" s="114"/>
      <c r="AR688" s="114"/>
      <c r="AS688" s="114"/>
    </row>
    <row r="689" customFormat="false" ht="15" hidden="false" customHeight="false" outlineLevel="0" collapsed="false">
      <c r="A689" s="107"/>
      <c r="B689" s="107"/>
      <c r="C689" s="60"/>
      <c r="D689" s="110"/>
      <c r="E689" s="110"/>
      <c r="F689" s="110"/>
      <c r="G689" s="110"/>
      <c r="H689" s="115"/>
      <c r="I689" s="115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  <c r="Y689" s="109"/>
      <c r="Z689" s="109"/>
      <c r="AA689" s="110"/>
      <c r="AB689" s="115"/>
      <c r="AC689" s="115"/>
      <c r="AD689" s="115"/>
      <c r="AE689" s="111"/>
      <c r="AF689" s="111"/>
      <c r="AG689" s="111"/>
      <c r="AH689" s="111"/>
      <c r="AI689" s="115"/>
      <c r="AJ689" s="115"/>
      <c r="AK689" s="115"/>
      <c r="AL689" s="115"/>
      <c r="AM689" s="112"/>
      <c r="AN689" s="116"/>
      <c r="AO689" s="116"/>
      <c r="AP689" s="114"/>
      <c r="AQ689" s="114"/>
      <c r="AR689" s="114"/>
      <c r="AS689" s="114"/>
    </row>
    <row r="690" customFormat="false" ht="15.75" hidden="false" customHeight="false" outlineLevel="0" collapsed="false">
      <c r="A690" s="107"/>
      <c r="B690" s="107"/>
      <c r="C690" s="60"/>
      <c r="D690" s="110"/>
      <c r="E690" s="110"/>
      <c r="F690" s="110"/>
      <c r="G690" s="110"/>
      <c r="H690" s="115"/>
      <c r="I690" s="115"/>
      <c r="J690" s="117"/>
      <c r="K690" s="117"/>
      <c r="L690" s="117"/>
      <c r="M690" s="117"/>
      <c r="N690" s="117"/>
      <c r="O690" s="117"/>
      <c r="P690" s="117"/>
      <c r="Q690" s="117"/>
      <c r="R690" s="117"/>
      <c r="S690" s="117"/>
      <c r="T690" s="117"/>
      <c r="U690" s="117"/>
      <c r="V690" s="117"/>
      <c r="W690" s="117"/>
      <c r="X690" s="117"/>
      <c r="Y690" s="117"/>
      <c r="Z690" s="117"/>
      <c r="AA690" s="117"/>
      <c r="AB690" s="115"/>
      <c r="AC690" s="115"/>
      <c r="AD690" s="115"/>
      <c r="AE690" s="115"/>
      <c r="AF690" s="115"/>
      <c r="AG690" s="115"/>
      <c r="AH690" s="115"/>
      <c r="AI690" s="115"/>
      <c r="AJ690" s="115"/>
      <c r="AK690" s="115"/>
      <c r="AL690" s="115"/>
      <c r="AM690" s="112"/>
      <c r="AN690" s="118"/>
      <c r="AO690" s="118"/>
      <c r="AP690" s="114"/>
      <c r="AQ690" s="114"/>
      <c r="AR690" s="114"/>
      <c r="AS690" s="114"/>
    </row>
    <row r="691" customFormat="false" ht="14.25" hidden="false" customHeight="false" outlineLevel="0" collapsed="false">
      <c r="A691" s="119"/>
      <c r="B691" s="120"/>
      <c r="C691" s="121"/>
      <c r="D691" s="122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  <c r="AA691" s="123"/>
      <c r="AB691" s="123"/>
      <c r="AC691" s="124"/>
      <c r="AD691" s="124"/>
      <c r="AE691" s="124"/>
      <c r="AF691" s="124"/>
      <c r="AG691" s="124"/>
      <c r="AH691" s="124"/>
      <c r="AI691" s="124"/>
      <c r="AJ691" s="124"/>
      <c r="AK691" s="124"/>
      <c r="AL691" s="124"/>
      <c r="AM691" s="124"/>
      <c r="AN691" s="124"/>
      <c r="AO691" s="124"/>
      <c r="AP691" s="124"/>
      <c r="AQ691" s="125"/>
      <c r="AR691" s="125"/>
      <c r="AS691" s="125"/>
    </row>
    <row r="692" customFormat="false" ht="15" hidden="false" customHeight="false" outlineLevel="0" collapsed="false">
      <c r="A692" s="119"/>
      <c r="B692" s="120"/>
      <c r="C692" s="126"/>
      <c r="D692" s="127"/>
      <c r="E692" s="127"/>
      <c r="F692" s="127"/>
      <c r="G692" s="127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9"/>
      <c r="S692" s="129"/>
      <c r="T692" s="129"/>
      <c r="U692" s="129"/>
      <c r="V692" s="129"/>
      <c r="W692" s="129"/>
      <c r="X692" s="129"/>
      <c r="Y692" s="129"/>
      <c r="Z692" s="130"/>
      <c r="AA692" s="123"/>
      <c r="AB692" s="123"/>
      <c r="AC692" s="131"/>
      <c r="AD692" s="131"/>
      <c r="AE692" s="131"/>
      <c r="AF692" s="131"/>
      <c r="AG692" s="131"/>
      <c r="AH692" s="131"/>
      <c r="AI692" s="131"/>
      <c r="AJ692" s="132"/>
      <c r="AK692" s="132"/>
      <c r="AL692" s="132"/>
      <c r="AM692" s="132"/>
      <c r="AN692" s="132"/>
      <c r="AO692" s="132"/>
      <c r="AP692" s="132"/>
      <c r="AQ692" s="125"/>
      <c r="AR692" s="125"/>
      <c r="AS692" s="125"/>
    </row>
    <row r="693" customFormat="false" ht="15" hidden="false" customHeight="false" outlineLevel="0" collapsed="false">
      <c r="A693" s="119"/>
      <c r="B693" s="120"/>
      <c r="C693" s="126"/>
      <c r="D693" s="127"/>
      <c r="E693" s="127"/>
      <c r="F693" s="127"/>
      <c r="G693" s="127"/>
      <c r="H693" s="129"/>
      <c r="I693" s="128"/>
      <c r="J693" s="129"/>
      <c r="K693" s="129"/>
      <c r="L693" s="129"/>
      <c r="M693" s="129"/>
      <c r="N693" s="129"/>
      <c r="O693" s="129"/>
      <c r="P693" s="129"/>
      <c r="Q693" s="47"/>
      <c r="R693" s="128"/>
      <c r="S693" s="128"/>
      <c r="T693" s="128"/>
      <c r="U693" s="128"/>
      <c r="V693" s="128"/>
      <c r="W693" s="129"/>
      <c r="X693" s="129"/>
      <c r="Y693" s="129"/>
      <c r="Z693" s="130"/>
      <c r="AA693" s="123"/>
      <c r="AB693" s="123"/>
      <c r="AC693" s="133"/>
      <c r="AD693" s="134"/>
      <c r="AE693" s="135"/>
      <c r="AF693" s="136"/>
      <c r="AG693" s="137"/>
      <c r="AH693" s="137"/>
      <c r="AI693" s="136"/>
      <c r="AJ693" s="136"/>
      <c r="AK693" s="136"/>
      <c r="AL693" s="138"/>
      <c r="AM693" s="135"/>
      <c r="AN693" s="139"/>
      <c r="AO693" s="139"/>
      <c r="AP693" s="136"/>
      <c r="AQ693" s="125"/>
      <c r="AR693" s="125"/>
      <c r="AS693" s="125"/>
    </row>
    <row r="694" customFormat="false" ht="15" hidden="false" customHeight="false" outlineLevel="0" collapsed="false">
      <c r="A694" s="119"/>
      <c r="B694" s="120"/>
      <c r="C694" s="140"/>
      <c r="D694" s="127"/>
      <c r="E694" s="127"/>
      <c r="F694" s="127"/>
      <c r="G694" s="127"/>
      <c r="H694" s="141"/>
      <c r="I694" s="141"/>
      <c r="J694" s="128"/>
      <c r="K694" s="141"/>
      <c r="L694" s="141"/>
      <c r="M694" s="141"/>
      <c r="N694" s="141"/>
      <c r="O694" s="141"/>
      <c r="P694" s="141"/>
      <c r="Q694" s="141"/>
      <c r="R694" s="141"/>
      <c r="S694" s="142"/>
      <c r="T694" s="142"/>
      <c r="U694" s="142"/>
      <c r="V694" s="128"/>
      <c r="W694" s="128"/>
      <c r="X694" s="128"/>
      <c r="Y694" s="128"/>
      <c r="Z694" s="143"/>
      <c r="AA694" s="123"/>
      <c r="AB694" s="123"/>
      <c r="AC694" s="133"/>
      <c r="AD694" s="144"/>
      <c r="AE694" s="135"/>
      <c r="AF694" s="136"/>
      <c r="AG694" s="145"/>
      <c r="AH694" s="145"/>
      <c r="AI694" s="136"/>
      <c r="AJ694" s="136"/>
      <c r="AK694" s="136"/>
      <c r="AL694" s="138"/>
      <c r="AM694" s="135"/>
      <c r="AN694" s="146"/>
      <c r="AO694" s="146"/>
      <c r="AP694" s="136"/>
      <c r="AQ694" s="125"/>
      <c r="AR694" s="125"/>
      <c r="AS694" s="125"/>
    </row>
    <row r="695" customFormat="false" ht="15" hidden="false" customHeight="false" outlineLevel="0" collapsed="false">
      <c r="A695" s="29"/>
      <c r="B695" s="147"/>
      <c r="C695" s="148"/>
      <c r="D695" s="149"/>
      <c r="E695" s="149"/>
      <c r="F695" s="149"/>
      <c r="G695" s="149"/>
      <c r="H695" s="150"/>
      <c r="I695" s="151"/>
      <c r="J695" s="151"/>
      <c r="K695" s="151"/>
      <c r="L695" s="151"/>
      <c r="M695" s="151"/>
      <c r="N695" s="151"/>
      <c r="O695" s="151"/>
      <c r="P695" s="151"/>
      <c r="Q695" s="151"/>
      <c r="R695" s="150"/>
      <c r="S695" s="150"/>
      <c r="T695" s="150"/>
      <c r="U695" s="150"/>
      <c r="V695" s="150"/>
      <c r="W695" s="150"/>
      <c r="X695" s="150"/>
      <c r="Y695" s="150"/>
      <c r="Z695" s="152"/>
      <c r="AA695" s="143"/>
      <c r="AB695" s="153"/>
      <c r="AC695" s="152"/>
      <c r="AD695" s="152"/>
      <c r="AE695" s="154"/>
      <c r="AF695" s="154"/>
      <c r="AG695" s="154"/>
      <c r="AH695" s="154"/>
      <c r="AI695" s="154"/>
      <c r="AJ695" s="154"/>
      <c r="AK695" s="154"/>
      <c r="AL695" s="154"/>
      <c r="AM695" s="154"/>
      <c r="AN695" s="154"/>
      <c r="AO695" s="154"/>
      <c r="AP695" s="152"/>
      <c r="AQ695" s="154"/>
      <c r="AR695" s="154"/>
      <c r="AS695" s="154"/>
    </row>
    <row r="696" customFormat="false" ht="15" hidden="false" customHeight="false" outlineLevel="0" collapsed="false">
      <c r="A696" s="29"/>
      <c r="B696" s="147"/>
      <c r="C696" s="155"/>
      <c r="D696" s="149"/>
      <c r="E696" s="149"/>
      <c r="F696" s="149"/>
      <c r="G696" s="149"/>
      <c r="H696" s="150"/>
      <c r="I696" s="151"/>
      <c r="J696" s="151"/>
      <c r="K696" s="151"/>
      <c r="L696" s="151"/>
      <c r="M696" s="151"/>
      <c r="N696" s="151"/>
      <c r="O696" s="151"/>
      <c r="P696" s="151"/>
      <c r="Q696" s="151"/>
      <c r="R696" s="150"/>
      <c r="S696" s="150"/>
      <c r="T696" s="150"/>
      <c r="U696" s="150"/>
      <c r="V696" s="150"/>
      <c r="W696" s="150"/>
      <c r="X696" s="150"/>
      <c r="Y696" s="150"/>
      <c r="Z696" s="152"/>
      <c r="AA696" s="143"/>
      <c r="AB696" s="154"/>
      <c r="AC696" s="152"/>
      <c r="AD696" s="152"/>
      <c r="AE696" s="154"/>
      <c r="AF696" s="154"/>
      <c r="AG696" s="154"/>
      <c r="AH696" s="154"/>
      <c r="AI696" s="154"/>
      <c r="AJ696" s="154"/>
      <c r="AK696" s="154"/>
      <c r="AL696" s="154"/>
      <c r="AM696" s="154"/>
      <c r="AN696" s="154"/>
      <c r="AO696" s="154"/>
      <c r="AP696" s="152"/>
      <c r="AQ696" s="154"/>
      <c r="AR696" s="154"/>
      <c r="AS696" s="154"/>
    </row>
    <row r="697" customFormat="false" ht="15" hidden="false" customHeight="false" outlineLevel="0" collapsed="false">
      <c r="A697" s="29"/>
      <c r="B697" s="147"/>
      <c r="C697" s="156"/>
      <c r="D697" s="149"/>
      <c r="E697" s="149"/>
      <c r="F697" s="149"/>
      <c r="G697" s="149"/>
      <c r="H697" s="150"/>
      <c r="I697" s="151"/>
      <c r="J697" s="151"/>
      <c r="K697" s="151"/>
      <c r="L697" s="151"/>
      <c r="M697" s="151"/>
      <c r="N697" s="151"/>
      <c r="O697" s="151"/>
      <c r="P697" s="151"/>
      <c r="Q697" s="151"/>
      <c r="R697" s="150"/>
      <c r="S697" s="150"/>
      <c r="T697" s="150"/>
      <c r="U697" s="150"/>
      <c r="V697" s="150"/>
      <c r="W697" s="150"/>
      <c r="X697" s="150"/>
      <c r="Y697" s="150"/>
      <c r="Z697" s="152"/>
      <c r="AA697" s="143"/>
      <c r="AB697" s="154"/>
      <c r="AC697" s="152"/>
      <c r="AD697" s="152"/>
      <c r="AE697" s="154"/>
      <c r="AF697" s="154"/>
      <c r="AG697" s="154"/>
      <c r="AH697" s="154"/>
      <c r="AI697" s="154"/>
      <c r="AJ697" s="154"/>
      <c r="AK697" s="154"/>
      <c r="AL697" s="154"/>
      <c r="AM697" s="154"/>
      <c r="AN697" s="154"/>
      <c r="AO697" s="154"/>
      <c r="AP697" s="152"/>
      <c r="AQ697" s="154"/>
      <c r="AR697" s="154"/>
      <c r="AS697" s="154"/>
    </row>
    <row r="698" customFormat="false" ht="15" hidden="false" customHeight="false" outlineLevel="0" collapsed="false">
      <c r="A698" s="29"/>
      <c r="B698" s="147"/>
      <c r="C698" s="148"/>
      <c r="D698" s="149"/>
      <c r="E698" s="149"/>
      <c r="F698" s="149"/>
      <c r="G698" s="149"/>
      <c r="H698" s="150"/>
      <c r="I698" s="151"/>
      <c r="J698" s="151"/>
      <c r="K698" s="151"/>
      <c r="L698" s="151"/>
      <c r="M698" s="151"/>
      <c r="N698" s="151"/>
      <c r="O698" s="151"/>
      <c r="P698" s="151"/>
      <c r="Q698" s="151"/>
      <c r="R698" s="150"/>
      <c r="S698" s="150"/>
      <c r="T698" s="150"/>
      <c r="U698" s="150"/>
      <c r="V698" s="150"/>
      <c r="W698" s="150"/>
      <c r="X698" s="150"/>
      <c r="Y698" s="150"/>
      <c r="Z698" s="152"/>
      <c r="AA698" s="143"/>
      <c r="AB698" s="153"/>
      <c r="AC698" s="152"/>
      <c r="AD698" s="152"/>
      <c r="AE698" s="154"/>
      <c r="AF698" s="154"/>
      <c r="AG698" s="154"/>
      <c r="AH698" s="154"/>
      <c r="AI698" s="154"/>
      <c r="AJ698" s="154"/>
      <c r="AK698" s="154"/>
      <c r="AL698" s="154"/>
      <c r="AM698" s="154"/>
      <c r="AN698" s="154"/>
      <c r="AO698" s="154"/>
      <c r="AP698" s="152"/>
      <c r="AQ698" s="154"/>
      <c r="AR698" s="154"/>
      <c r="AS698" s="154"/>
    </row>
    <row r="699" customFormat="false" ht="15" hidden="false" customHeight="false" outlineLevel="0" collapsed="false">
      <c r="A699" s="29"/>
      <c r="B699" s="147"/>
      <c r="C699" s="155"/>
      <c r="D699" s="149"/>
      <c r="E699" s="149"/>
      <c r="F699" s="149"/>
      <c r="G699" s="149"/>
      <c r="H699" s="150"/>
      <c r="I699" s="151"/>
      <c r="J699" s="151"/>
      <c r="K699" s="151"/>
      <c r="L699" s="151"/>
      <c r="M699" s="151"/>
      <c r="N699" s="151"/>
      <c r="O699" s="151"/>
      <c r="P699" s="151"/>
      <c r="Q699" s="151"/>
      <c r="R699" s="150"/>
      <c r="S699" s="150"/>
      <c r="T699" s="150"/>
      <c r="U699" s="150"/>
      <c r="V699" s="150"/>
      <c r="W699" s="150"/>
      <c r="X699" s="150"/>
      <c r="Y699" s="150"/>
      <c r="Z699" s="152"/>
      <c r="AA699" s="143"/>
      <c r="AB699" s="154"/>
      <c r="AC699" s="152"/>
      <c r="AD699" s="152"/>
      <c r="AE699" s="154"/>
      <c r="AF699" s="154"/>
      <c r="AG699" s="154"/>
      <c r="AH699" s="154"/>
      <c r="AI699" s="154"/>
      <c r="AJ699" s="154"/>
      <c r="AK699" s="154"/>
      <c r="AL699" s="154"/>
      <c r="AM699" s="154"/>
      <c r="AN699" s="154"/>
      <c r="AO699" s="154"/>
      <c r="AP699" s="152"/>
      <c r="AQ699" s="154"/>
      <c r="AR699" s="154"/>
      <c r="AS699" s="154"/>
    </row>
    <row r="700" customFormat="false" ht="15" hidden="false" customHeight="false" outlineLevel="0" collapsed="false">
      <c r="A700" s="29"/>
      <c r="B700" s="147"/>
      <c r="C700" s="156"/>
      <c r="D700" s="149"/>
      <c r="E700" s="149"/>
      <c r="F700" s="149"/>
      <c r="G700" s="149"/>
      <c r="H700" s="150"/>
      <c r="I700" s="151"/>
      <c r="J700" s="151"/>
      <c r="K700" s="151"/>
      <c r="L700" s="151"/>
      <c r="M700" s="151"/>
      <c r="N700" s="151"/>
      <c r="O700" s="151"/>
      <c r="P700" s="151"/>
      <c r="Q700" s="151"/>
      <c r="R700" s="150"/>
      <c r="S700" s="150"/>
      <c r="T700" s="150"/>
      <c r="U700" s="150"/>
      <c r="V700" s="150"/>
      <c r="W700" s="150"/>
      <c r="X700" s="150"/>
      <c r="Y700" s="150"/>
      <c r="Z700" s="152"/>
      <c r="AA700" s="143"/>
      <c r="AB700" s="154"/>
      <c r="AC700" s="152"/>
      <c r="AD700" s="152"/>
      <c r="AE700" s="154"/>
      <c r="AF700" s="154"/>
      <c r="AG700" s="154"/>
      <c r="AH700" s="154"/>
      <c r="AI700" s="154"/>
      <c r="AJ700" s="154"/>
      <c r="AK700" s="154"/>
      <c r="AL700" s="154"/>
      <c r="AM700" s="154"/>
      <c r="AN700" s="154"/>
      <c r="AO700" s="154"/>
      <c r="AP700" s="152"/>
      <c r="AQ700" s="154"/>
      <c r="AR700" s="154"/>
      <c r="AS700" s="154"/>
    </row>
    <row r="701" customFormat="false" ht="15" hidden="false" customHeight="false" outlineLevel="0" collapsed="false">
      <c r="A701" s="29"/>
      <c r="B701" s="147"/>
      <c r="C701" s="148"/>
      <c r="D701" s="149"/>
      <c r="E701" s="149"/>
      <c r="F701" s="149"/>
      <c r="G701" s="149"/>
      <c r="H701" s="150"/>
      <c r="I701" s="151"/>
      <c r="J701" s="151"/>
      <c r="K701" s="151"/>
      <c r="L701" s="151"/>
      <c r="M701" s="151"/>
      <c r="N701" s="151"/>
      <c r="O701" s="151"/>
      <c r="P701" s="151"/>
      <c r="Q701" s="151"/>
      <c r="R701" s="150"/>
      <c r="S701" s="150"/>
      <c r="T701" s="150"/>
      <c r="U701" s="150"/>
      <c r="V701" s="150"/>
      <c r="W701" s="150"/>
      <c r="X701" s="150"/>
      <c r="Y701" s="150"/>
      <c r="Z701" s="152"/>
      <c r="AA701" s="143"/>
      <c r="AB701" s="153"/>
      <c r="AC701" s="152"/>
      <c r="AD701" s="152"/>
      <c r="AE701" s="154"/>
      <c r="AF701" s="154"/>
      <c r="AG701" s="154"/>
      <c r="AH701" s="154"/>
      <c r="AI701" s="154"/>
      <c r="AJ701" s="154"/>
      <c r="AK701" s="154"/>
      <c r="AL701" s="154"/>
      <c r="AM701" s="154"/>
      <c r="AN701" s="154"/>
      <c r="AO701" s="154"/>
      <c r="AP701" s="152"/>
      <c r="AQ701" s="154"/>
      <c r="AR701" s="154"/>
      <c r="AS701" s="154"/>
    </row>
    <row r="702" customFormat="false" ht="15" hidden="false" customHeight="false" outlineLevel="0" collapsed="false">
      <c r="A702" s="29"/>
      <c r="B702" s="147"/>
      <c r="C702" s="155"/>
      <c r="D702" s="149"/>
      <c r="E702" s="149"/>
      <c r="F702" s="149"/>
      <c r="G702" s="149"/>
      <c r="H702" s="150"/>
      <c r="I702" s="151"/>
      <c r="J702" s="151"/>
      <c r="K702" s="151"/>
      <c r="L702" s="151"/>
      <c r="M702" s="151"/>
      <c r="N702" s="151"/>
      <c r="O702" s="151"/>
      <c r="P702" s="151"/>
      <c r="Q702" s="151"/>
      <c r="R702" s="150"/>
      <c r="S702" s="150"/>
      <c r="T702" s="150"/>
      <c r="U702" s="150"/>
      <c r="V702" s="150"/>
      <c r="W702" s="150"/>
      <c r="X702" s="150"/>
      <c r="Y702" s="150"/>
      <c r="Z702" s="152"/>
      <c r="AA702" s="143"/>
      <c r="AB702" s="154"/>
      <c r="AC702" s="152"/>
      <c r="AD702" s="152"/>
      <c r="AE702" s="154"/>
      <c r="AF702" s="154"/>
      <c r="AG702" s="154"/>
      <c r="AH702" s="154"/>
      <c r="AI702" s="154"/>
      <c r="AJ702" s="154"/>
      <c r="AK702" s="154"/>
      <c r="AL702" s="154"/>
      <c r="AM702" s="154"/>
      <c r="AN702" s="154"/>
      <c r="AO702" s="154"/>
      <c r="AP702" s="152"/>
      <c r="AQ702" s="154"/>
      <c r="AR702" s="154"/>
      <c r="AS702" s="154"/>
    </row>
    <row r="703" customFormat="false" ht="15" hidden="false" customHeight="false" outlineLevel="0" collapsed="false">
      <c r="A703" s="29"/>
      <c r="B703" s="147"/>
      <c r="C703" s="156"/>
      <c r="D703" s="149"/>
      <c r="E703" s="149"/>
      <c r="F703" s="149"/>
      <c r="G703" s="149"/>
      <c r="H703" s="150"/>
      <c r="I703" s="151"/>
      <c r="J703" s="151"/>
      <c r="K703" s="151"/>
      <c r="L703" s="151"/>
      <c r="M703" s="151"/>
      <c r="N703" s="151"/>
      <c r="O703" s="151"/>
      <c r="P703" s="151"/>
      <c r="Q703" s="151"/>
      <c r="R703" s="150"/>
      <c r="S703" s="150"/>
      <c r="T703" s="150"/>
      <c r="U703" s="150"/>
      <c r="V703" s="150"/>
      <c r="W703" s="150"/>
      <c r="X703" s="150"/>
      <c r="Y703" s="150"/>
      <c r="Z703" s="152"/>
      <c r="AA703" s="143"/>
      <c r="AB703" s="154"/>
      <c r="AC703" s="152"/>
      <c r="AD703" s="152"/>
      <c r="AE703" s="154"/>
      <c r="AF703" s="154"/>
      <c r="AG703" s="154"/>
      <c r="AH703" s="154"/>
      <c r="AI703" s="154"/>
      <c r="AJ703" s="154"/>
      <c r="AK703" s="154"/>
      <c r="AL703" s="154"/>
      <c r="AM703" s="154"/>
      <c r="AN703" s="154"/>
      <c r="AO703" s="154"/>
      <c r="AP703" s="152"/>
      <c r="AQ703" s="154"/>
      <c r="AR703" s="154"/>
      <c r="AS703" s="154"/>
    </row>
    <row r="704" customFormat="false" ht="15" hidden="false" customHeight="false" outlineLevel="0" collapsed="false">
      <c r="A704" s="29"/>
      <c r="B704" s="147"/>
      <c r="C704" s="148"/>
      <c r="D704" s="149"/>
      <c r="E704" s="149"/>
      <c r="F704" s="149"/>
      <c r="G704" s="149"/>
      <c r="H704" s="150"/>
      <c r="I704" s="151"/>
      <c r="J704" s="151"/>
      <c r="K704" s="151"/>
      <c r="L704" s="151"/>
      <c r="M704" s="151"/>
      <c r="N704" s="151"/>
      <c r="O704" s="151"/>
      <c r="P704" s="151"/>
      <c r="Q704" s="151"/>
      <c r="R704" s="150"/>
      <c r="S704" s="150"/>
      <c r="T704" s="150"/>
      <c r="U704" s="150"/>
      <c r="V704" s="150"/>
      <c r="W704" s="150"/>
      <c r="X704" s="150"/>
      <c r="Y704" s="150"/>
      <c r="Z704" s="152"/>
      <c r="AA704" s="143"/>
      <c r="AB704" s="153"/>
      <c r="AC704" s="152"/>
      <c r="AD704" s="152"/>
      <c r="AE704" s="154"/>
      <c r="AF704" s="154"/>
      <c r="AG704" s="154"/>
      <c r="AH704" s="154"/>
      <c r="AI704" s="154"/>
      <c r="AJ704" s="154"/>
      <c r="AK704" s="154"/>
      <c r="AL704" s="154"/>
      <c r="AM704" s="154"/>
      <c r="AN704" s="154"/>
      <c r="AO704" s="154"/>
      <c r="AP704" s="152"/>
      <c r="AQ704" s="154"/>
      <c r="AR704" s="154"/>
      <c r="AS704" s="154"/>
    </row>
    <row r="705" customFormat="false" ht="15" hidden="false" customHeight="false" outlineLevel="0" collapsed="false">
      <c r="A705" s="29"/>
      <c r="B705" s="147"/>
      <c r="C705" s="155"/>
      <c r="D705" s="149"/>
      <c r="E705" s="149"/>
      <c r="F705" s="149"/>
      <c r="G705" s="149"/>
      <c r="H705" s="150"/>
      <c r="I705" s="151"/>
      <c r="J705" s="151"/>
      <c r="K705" s="151"/>
      <c r="L705" s="151"/>
      <c r="M705" s="151"/>
      <c r="N705" s="151"/>
      <c r="O705" s="151"/>
      <c r="P705" s="151"/>
      <c r="Q705" s="151"/>
      <c r="R705" s="150"/>
      <c r="S705" s="150"/>
      <c r="T705" s="150"/>
      <c r="U705" s="150"/>
      <c r="V705" s="150"/>
      <c r="W705" s="150"/>
      <c r="X705" s="150"/>
      <c r="Y705" s="150"/>
      <c r="Z705" s="152"/>
      <c r="AA705" s="143"/>
      <c r="AB705" s="154"/>
      <c r="AC705" s="152"/>
      <c r="AD705" s="152"/>
      <c r="AE705" s="154"/>
      <c r="AF705" s="154"/>
      <c r="AG705" s="154"/>
      <c r="AH705" s="154"/>
      <c r="AI705" s="154"/>
      <c r="AJ705" s="154"/>
      <c r="AK705" s="154"/>
      <c r="AL705" s="154"/>
      <c r="AM705" s="154"/>
      <c r="AN705" s="154"/>
      <c r="AO705" s="154"/>
      <c r="AP705" s="152"/>
      <c r="AQ705" s="154"/>
      <c r="AR705" s="154"/>
      <c r="AS705" s="154"/>
    </row>
    <row r="706" customFormat="false" ht="15" hidden="false" customHeight="false" outlineLevel="0" collapsed="false">
      <c r="A706" s="29"/>
      <c r="B706" s="147"/>
      <c r="C706" s="156"/>
      <c r="D706" s="149"/>
      <c r="E706" s="149"/>
      <c r="F706" s="149"/>
      <c r="G706" s="149"/>
      <c r="H706" s="150"/>
      <c r="I706" s="151"/>
      <c r="J706" s="151"/>
      <c r="K706" s="151"/>
      <c r="L706" s="151"/>
      <c r="M706" s="151"/>
      <c r="N706" s="151"/>
      <c r="O706" s="151"/>
      <c r="P706" s="151"/>
      <c r="Q706" s="151"/>
      <c r="R706" s="150"/>
      <c r="S706" s="150"/>
      <c r="T706" s="150"/>
      <c r="U706" s="150"/>
      <c r="V706" s="150"/>
      <c r="W706" s="150"/>
      <c r="X706" s="150"/>
      <c r="Y706" s="150"/>
      <c r="Z706" s="152"/>
      <c r="AA706" s="143"/>
      <c r="AB706" s="154"/>
      <c r="AC706" s="152"/>
      <c r="AD706" s="152"/>
      <c r="AE706" s="154"/>
      <c r="AF706" s="154"/>
      <c r="AG706" s="154"/>
      <c r="AH706" s="154"/>
      <c r="AI706" s="154"/>
      <c r="AJ706" s="154"/>
      <c r="AK706" s="154"/>
      <c r="AL706" s="154"/>
      <c r="AM706" s="154"/>
      <c r="AN706" s="154"/>
      <c r="AO706" s="154"/>
      <c r="AP706" s="152"/>
      <c r="AQ706" s="154"/>
      <c r="AR706" s="154"/>
      <c r="AS706" s="154"/>
    </row>
    <row r="707" customFormat="false" ht="15" hidden="false" customHeight="false" outlineLevel="0" collapsed="false">
      <c r="A707" s="29"/>
      <c r="B707" s="147"/>
      <c r="C707" s="148"/>
      <c r="D707" s="149"/>
      <c r="E707" s="149"/>
      <c r="F707" s="149"/>
      <c r="G707" s="149"/>
      <c r="H707" s="150"/>
      <c r="I707" s="151"/>
      <c r="J707" s="151"/>
      <c r="K707" s="151"/>
      <c r="L707" s="151"/>
      <c r="M707" s="151"/>
      <c r="N707" s="151"/>
      <c r="O707" s="151"/>
      <c r="P707" s="151"/>
      <c r="Q707" s="151"/>
      <c r="R707" s="150"/>
      <c r="S707" s="150"/>
      <c r="T707" s="150"/>
      <c r="U707" s="150"/>
      <c r="V707" s="150"/>
      <c r="W707" s="150"/>
      <c r="X707" s="150"/>
      <c r="Y707" s="150"/>
      <c r="Z707" s="152"/>
      <c r="AA707" s="143"/>
      <c r="AB707" s="153"/>
      <c r="AC707" s="152"/>
      <c r="AD707" s="152"/>
      <c r="AE707" s="154"/>
      <c r="AF707" s="154"/>
      <c r="AG707" s="154"/>
      <c r="AH707" s="154"/>
      <c r="AI707" s="154"/>
      <c r="AJ707" s="154"/>
      <c r="AK707" s="154"/>
      <c r="AL707" s="154"/>
      <c r="AM707" s="154"/>
      <c r="AN707" s="154"/>
      <c r="AO707" s="154"/>
      <c r="AP707" s="152"/>
      <c r="AQ707" s="154"/>
      <c r="AR707" s="154"/>
      <c r="AS707" s="154"/>
    </row>
    <row r="708" customFormat="false" ht="15" hidden="false" customHeight="false" outlineLevel="0" collapsed="false">
      <c r="A708" s="29"/>
      <c r="B708" s="147"/>
      <c r="C708" s="155"/>
      <c r="D708" s="149"/>
      <c r="E708" s="149"/>
      <c r="F708" s="149"/>
      <c r="G708" s="149"/>
      <c r="H708" s="150"/>
      <c r="I708" s="151"/>
      <c r="J708" s="151"/>
      <c r="K708" s="151"/>
      <c r="L708" s="151"/>
      <c r="M708" s="151"/>
      <c r="N708" s="151"/>
      <c r="O708" s="151"/>
      <c r="P708" s="151"/>
      <c r="Q708" s="151"/>
      <c r="R708" s="150"/>
      <c r="S708" s="150"/>
      <c r="T708" s="150"/>
      <c r="U708" s="150"/>
      <c r="V708" s="150"/>
      <c r="W708" s="150"/>
      <c r="X708" s="150"/>
      <c r="Y708" s="150"/>
      <c r="Z708" s="152"/>
      <c r="AA708" s="143"/>
      <c r="AB708" s="154"/>
      <c r="AC708" s="152"/>
      <c r="AD708" s="152"/>
      <c r="AE708" s="154"/>
      <c r="AF708" s="154"/>
      <c r="AG708" s="154"/>
      <c r="AH708" s="154"/>
      <c r="AI708" s="154"/>
      <c r="AJ708" s="154"/>
      <c r="AK708" s="154"/>
      <c r="AL708" s="154"/>
      <c r="AM708" s="154"/>
      <c r="AN708" s="154"/>
      <c r="AO708" s="154"/>
      <c r="AP708" s="152"/>
      <c r="AQ708" s="154"/>
      <c r="AR708" s="154"/>
      <c r="AS708" s="154"/>
    </row>
    <row r="709" customFormat="false" ht="15" hidden="false" customHeight="false" outlineLevel="0" collapsed="false">
      <c r="A709" s="29"/>
      <c r="B709" s="147"/>
      <c r="C709" s="156"/>
      <c r="D709" s="149"/>
      <c r="E709" s="149"/>
      <c r="F709" s="149"/>
      <c r="G709" s="149"/>
      <c r="H709" s="150"/>
      <c r="I709" s="151"/>
      <c r="J709" s="151"/>
      <c r="K709" s="151"/>
      <c r="L709" s="151"/>
      <c r="M709" s="151"/>
      <c r="N709" s="151"/>
      <c r="O709" s="151"/>
      <c r="P709" s="151"/>
      <c r="Q709" s="151"/>
      <c r="R709" s="150"/>
      <c r="S709" s="150"/>
      <c r="T709" s="150"/>
      <c r="U709" s="150"/>
      <c r="V709" s="150"/>
      <c r="W709" s="150"/>
      <c r="X709" s="150"/>
      <c r="Y709" s="150"/>
      <c r="Z709" s="152"/>
      <c r="AA709" s="143"/>
      <c r="AB709" s="154"/>
      <c r="AC709" s="152"/>
      <c r="AD709" s="152"/>
      <c r="AE709" s="154"/>
      <c r="AF709" s="154"/>
      <c r="AG709" s="154"/>
      <c r="AH709" s="154"/>
      <c r="AI709" s="154"/>
      <c r="AJ709" s="154"/>
      <c r="AK709" s="154"/>
      <c r="AL709" s="154"/>
      <c r="AM709" s="154"/>
      <c r="AN709" s="154"/>
      <c r="AO709" s="154"/>
      <c r="AP709" s="152"/>
      <c r="AQ709" s="154"/>
      <c r="AR709" s="154"/>
      <c r="AS709" s="154"/>
    </row>
    <row r="710" customFormat="false" ht="15" hidden="false" customHeight="false" outlineLevel="0" collapsed="false">
      <c r="A710" s="29"/>
      <c r="B710" s="147"/>
      <c r="C710" s="148"/>
      <c r="D710" s="149"/>
      <c r="E710" s="149"/>
      <c r="F710" s="149"/>
      <c r="G710" s="149"/>
      <c r="H710" s="150"/>
      <c r="I710" s="151"/>
      <c r="J710" s="151"/>
      <c r="K710" s="151"/>
      <c r="L710" s="151"/>
      <c r="M710" s="151"/>
      <c r="N710" s="151"/>
      <c r="O710" s="151"/>
      <c r="P710" s="151"/>
      <c r="Q710" s="151"/>
      <c r="R710" s="150"/>
      <c r="S710" s="150"/>
      <c r="T710" s="150"/>
      <c r="U710" s="150"/>
      <c r="V710" s="150"/>
      <c r="W710" s="150"/>
      <c r="X710" s="150"/>
      <c r="Y710" s="150"/>
      <c r="Z710" s="152"/>
      <c r="AA710" s="143"/>
      <c r="AB710" s="153"/>
      <c r="AC710" s="152"/>
      <c r="AD710" s="152"/>
      <c r="AE710" s="154"/>
      <c r="AF710" s="154"/>
      <c r="AG710" s="154"/>
      <c r="AH710" s="154"/>
      <c r="AI710" s="154"/>
      <c r="AJ710" s="154"/>
      <c r="AK710" s="154"/>
      <c r="AL710" s="154"/>
      <c r="AM710" s="154"/>
      <c r="AN710" s="154"/>
      <c r="AO710" s="154"/>
      <c r="AP710" s="152"/>
      <c r="AQ710" s="154"/>
      <c r="AR710" s="154"/>
      <c r="AS710" s="154"/>
    </row>
    <row r="711" customFormat="false" ht="15" hidden="false" customHeight="false" outlineLevel="0" collapsed="false">
      <c r="A711" s="29"/>
      <c r="B711" s="147"/>
      <c r="C711" s="155"/>
      <c r="D711" s="149"/>
      <c r="E711" s="149"/>
      <c r="F711" s="149"/>
      <c r="G711" s="149"/>
      <c r="H711" s="150"/>
      <c r="I711" s="151"/>
      <c r="J711" s="151"/>
      <c r="K711" s="151"/>
      <c r="L711" s="151"/>
      <c r="M711" s="151"/>
      <c r="N711" s="151"/>
      <c r="O711" s="151"/>
      <c r="P711" s="151"/>
      <c r="Q711" s="151"/>
      <c r="R711" s="150"/>
      <c r="S711" s="150"/>
      <c r="T711" s="150"/>
      <c r="U711" s="150"/>
      <c r="V711" s="150"/>
      <c r="W711" s="150"/>
      <c r="X711" s="150"/>
      <c r="Y711" s="150"/>
      <c r="Z711" s="152"/>
      <c r="AA711" s="143"/>
      <c r="AB711" s="154"/>
      <c r="AC711" s="152"/>
      <c r="AD711" s="152"/>
      <c r="AE711" s="154"/>
      <c r="AF711" s="154"/>
      <c r="AG711" s="154"/>
      <c r="AH711" s="154"/>
      <c r="AI711" s="154"/>
      <c r="AJ711" s="154"/>
      <c r="AK711" s="154"/>
      <c r="AL711" s="154"/>
      <c r="AM711" s="154"/>
      <c r="AN711" s="154"/>
      <c r="AO711" s="154"/>
      <c r="AP711" s="152"/>
      <c r="AQ711" s="154"/>
      <c r="AR711" s="154"/>
      <c r="AS711" s="154"/>
    </row>
    <row r="712" customFormat="false" ht="15" hidden="false" customHeight="false" outlineLevel="0" collapsed="false">
      <c r="A712" s="29"/>
      <c r="B712" s="147"/>
      <c r="C712" s="156"/>
      <c r="D712" s="149"/>
      <c r="E712" s="149"/>
      <c r="F712" s="149"/>
      <c r="G712" s="149"/>
      <c r="H712" s="150"/>
      <c r="I712" s="151"/>
      <c r="J712" s="151"/>
      <c r="K712" s="151"/>
      <c r="L712" s="151"/>
      <c r="M712" s="151"/>
      <c r="N712" s="151"/>
      <c r="O712" s="151"/>
      <c r="P712" s="151"/>
      <c r="Q712" s="151"/>
      <c r="R712" s="150"/>
      <c r="S712" s="150"/>
      <c r="T712" s="150"/>
      <c r="U712" s="150"/>
      <c r="V712" s="150"/>
      <c r="W712" s="150"/>
      <c r="X712" s="150"/>
      <c r="Y712" s="150"/>
      <c r="Z712" s="152"/>
      <c r="AA712" s="143"/>
      <c r="AB712" s="154"/>
      <c r="AC712" s="152"/>
      <c r="AD712" s="152"/>
      <c r="AE712" s="154"/>
      <c r="AF712" s="154"/>
      <c r="AG712" s="154"/>
      <c r="AH712" s="154"/>
      <c r="AI712" s="154"/>
      <c r="AJ712" s="154"/>
      <c r="AK712" s="154"/>
      <c r="AL712" s="154"/>
      <c r="AM712" s="154"/>
      <c r="AN712" s="154"/>
      <c r="AO712" s="154"/>
      <c r="AP712" s="152"/>
      <c r="AQ712" s="154"/>
      <c r="AR712" s="154"/>
      <c r="AS712" s="154"/>
    </row>
    <row r="713" customFormat="false" ht="15" hidden="false" customHeight="false" outlineLevel="0" collapsed="false">
      <c r="A713" s="29"/>
      <c r="B713" s="147"/>
      <c r="C713" s="148"/>
      <c r="D713" s="149"/>
      <c r="E713" s="149"/>
      <c r="F713" s="149"/>
      <c r="G713" s="149"/>
      <c r="H713" s="150"/>
      <c r="I713" s="151"/>
      <c r="J713" s="151"/>
      <c r="K713" s="151"/>
      <c r="L713" s="151"/>
      <c r="M713" s="151"/>
      <c r="N713" s="151"/>
      <c r="O713" s="151"/>
      <c r="P713" s="151"/>
      <c r="Q713" s="151"/>
      <c r="R713" s="150"/>
      <c r="S713" s="150"/>
      <c r="T713" s="150"/>
      <c r="U713" s="150"/>
      <c r="V713" s="150"/>
      <c r="W713" s="150"/>
      <c r="X713" s="150"/>
      <c r="Y713" s="150"/>
      <c r="Z713" s="152"/>
      <c r="AA713" s="143"/>
      <c r="AB713" s="153"/>
      <c r="AC713" s="152"/>
      <c r="AD713" s="152"/>
      <c r="AE713" s="154"/>
      <c r="AF713" s="154"/>
      <c r="AG713" s="154"/>
      <c r="AH713" s="154"/>
      <c r="AI713" s="154"/>
      <c r="AJ713" s="154"/>
      <c r="AK713" s="154"/>
      <c r="AL713" s="154"/>
      <c r="AM713" s="154"/>
      <c r="AN713" s="154"/>
      <c r="AO713" s="154"/>
      <c r="AP713" s="152"/>
      <c r="AQ713" s="154"/>
      <c r="AR713" s="154"/>
      <c r="AS713" s="154"/>
    </row>
    <row r="714" customFormat="false" ht="15" hidden="false" customHeight="false" outlineLevel="0" collapsed="false">
      <c r="A714" s="29"/>
      <c r="B714" s="147"/>
      <c r="C714" s="155"/>
      <c r="D714" s="149"/>
      <c r="E714" s="149"/>
      <c r="F714" s="149"/>
      <c r="G714" s="149"/>
      <c r="H714" s="150"/>
      <c r="I714" s="151"/>
      <c r="J714" s="151"/>
      <c r="K714" s="151"/>
      <c r="L714" s="151"/>
      <c r="M714" s="151"/>
      <c r="N714" s="151"/>
      <c r="O714" s="151"/>
      <c r="P714" s="151"/>
      <c r="Q714" s="151"/>
      <c r="R714" s="150"/>
      <c r="S714" s="150"/>
      <c r="T714" s="150"/>
      <c r="U714" s="150"/>
      <c r="V714" s="150"/>
      <c r="W714" s="150"/>
      <c r="X714" s="150"/>
      <c r="Y714" s="150"/>
      <c r="Z714" s="152"/>
      <c r="AA714" s="143"/>
      <c r="AB714" s="154"/>
      <c r="AC714" s="152"/>
      <c r="AD714" s="152"/>
      <c r="AE714" s="154"/>
      <c r="AF714" s="154"/>
      <c r="AG714" s="154"/>
      <c r="AH714" s="154"/>
      <c r="AI714" s="154"/>
      <c r="AJ714" s="154"/>
      <c r="AK714" s="154"/>
      <c r="AL714" s="154"/>
      <c r="AM714" s="154"/>
      <c r="AN714" s="154"/>
      <c r="AO714" s="154"/>
      <c r="AP714" s="152"/>
      <c r="AQ714" s="154"/>
      <c r="AR714" s="154"/>
      <c r="AS714" s="154"/>
    </row>
    <row r="715" customFormat="false" ht="15" hidden="false" customHeight="false" outlineLevel="0" collapsed="false">
      <c r="A715" s="29"/>
      <c r="B715" s="147"/>
      <c r="C715" s="156"/>
      <c r="D715" s="149"/>
      <c r="E715" s="149"/>
      <c r="F715" s="149"/>
      <c r="G715" s="149"/>
      <c r="H715" s="150"/>
      <c r="I715" s="151"/>
      <c r="J715" s="151"/>
      <c r="K715" s="151"/>
      <c r="L715" s="151"/>
      <c r="M715" s="151"/>
      <c r="N715" s="151"/>
      <c r="O715" s="151"/>
      <c r="P715" s="151"/>
      <c r="Q715" s="151"/>
      <c r="R715" s="150"/>
      <c r="S715" s="150"/>
      <c r="T715" s="150"/>
      <c r="U715" s="150"/>
      <c r="V715" s="150"/>
      <c r="W715" s="150"/>
      <c r="X715" s="150"/>
      <c r="Y715" s="150"/>
      <c r="Z715" s="152"/>
      <c r="AA715" s="143"/>
      <c r="AB715" s="154"/>
      <c r="AC715" s="152"/>
      <c r="AD715" s="152"/>
      <c r="AE715" s="154"/>
      <c r="AF715" s="154"/>
      <c r="AG715" s="154"/>
      <c r="AH715" s="154"/>
      <c r="AI715" s="154"/>
      <c r="AJ715" s="154"/>
      <c r="AK715" s="154"/>
      <c r="AL715" s="154"/>
      <c r="AM715" s="154"/>
      <c r="AN715" s="154"/>
      <c r="AO715" s="154"/>
      <c r="AP715" s="152"/>
      <c r="AQ715" s="154"/>
      <c r="AR715" s="154"/>
      <c r="AS715" s="154"/>
    </row>
    <row r="716" customFormat="false" ht="15" hidden="false" customHeight="false" outlineLevel="0" collapsed="false">
      <c r="A716" s="29"/>
      <c r="B716" s="147"/>
      <c r="C716" s="148"/>
      <c r="D716" s="149"/>
      <c r="E716" s="149"/>
      <c r="F716" s="149"/>
      <c r="G716" s="149"/>
      <c r="H716" s="150"/>
      <c r="I716" s="151"/>
      <c r="J716" s="151"/>
      <c r="K716" s="151"/>
      <c r="L716" s="151"/>
      <c r="M716" s="151"/>
      <c r="N716" s="151"/>
      <c r="O716" s="151"/>
      <c r="P716" s="151"/>
      <c r="Q716" s="151"/>
      <c r="R716" s="150"/>
      <c r="S716" s="150"/>
      <c r="T716" s="150"/>
      <c r="U716" s="150"/>
      <c r="V716" s="150"/>
      <c r="W716" s="150"/>
      <c r="X716" s="150"/>
      <c r="Y716" s="150"/>
      <c r="Z716" s="152"/>
      <c r="AA716" s="143"/>
      <c r="AB716" s="153"/>
      <c r="AC716" s="152"/>
      <c r="AD716" s="152"/>
      <c r="AE716" s="154"/>
      <c r="AF716" s="154"/>
      <c r="AG716" s="154"/>
      <c r="AH716" s="154"/>
      <c r="AI716" s="154"/>
      <c r="AJ716" s="154"/>
      <c r="AK716" s="154"/>
      <c r="AL716" s="154"/>
      <c r="AM716" s="154"/>
      <c r="AN716" s="154"/>
      <c r="AO716" s="154"/>
      <c r="AP716" s="152"/>
      <c r="AQ716" s="154"/>
      <c r="AR716" s="154"/>
      <c r="AS716" s="154"/>
    </row>
    <row r="717" customFormat="false" ht="15" hidden="false" customHeight="false" outlineLevel="0" collapsed="false">
      <c r="A717" s="29"/>
      <c r="B717" s="147"/>
      <c r="C717" s="155"/>
      <c r="D717" s="149"/>
      <c r="E717" s="149"/>
      <c r="F717" s="149"/>
      <c r="G717" s="149"/>
      <c r="H717" s="150"/>
      <c r="I717" s="151"/>
      <c r="J717" s="151"/>
      <c r="K717" s="151"/>
      <c r="L717" s="151"/>
      <c r="M717" s="151"/>
      <c r="N717" s="151"/>
      <c r="O717" s="151"/>
      <c r="P717" s="151"/>
      <c r="Q717" s="151"/>
      <c r="R717" s="150"/>
      <c r="S717" s="150"/>
      <c r="T717" s="150"/>
      <c r="U717" s="150"/>
      <c r="V717" s="150"/>
      <c r="W717" s="150"/>
      <c r="X717" s="150"/>
      <c r="Y717" s="150"/>
      <c r="Z717" s="152"/>
      <c r="AA717" s="143"/>
      <c r="AB717" s="154"/>
      <c r="AC717" s="152"/>
      <c r="AD717" s="152"/>
      <c r="AE717" s="154"/>
      <c r="AF717" s="154"/>
      <c r="AG717" s="154"/>
      <c r="AH717" s="154"/>
      <c r="AI717" s="154"/>
      <c r="AJ717" s="154"/>
      <c r="AK717" s="154"/>
      <c r="AL717" s="154"/>
      <c r="AM717" s="154"/>
      <c r="AN717" s="154"/>
      <c r="AO717" s="154"/>
      <c r="AP717" s="152"/>
      <c r="AQ717" s="154"/>
      <c r="AR717" s="154"/>
      <c r="AS717" s="154"/>
    </row>
    <row r="718" customFormat="false" ht="15" hidden="false" customHeight="false" outlineLevel="0" collapsed="false">
      <c r="A718" s="29"/>
      <c r="B718" s="147"/>
      <c r="C718" s="156"/>
      <c r="D718" s="149"/>
      <c r="E718" s="149"/>
      <c r="F718" s="149"/>
      <c r="G718" s="149"/>
      <c r="H718" s="150"/>
      <c r="I718" s="151"/>
      <c r="J718" s="151"/>
      <c r="K718" s="151"/>
      <c r="L718" s="151"/>
      <c r="M718" s="151"/>
      <c r="N718" s="151"/>
      <c r="O718" s="151"/>
      <c r="P718" s="151"/>
      <c r="Q718" s="151"/>
      <c r="R718" s="150"/>
      <c r="S718" s="150"/>
      <c r="T718" s="150"/>
      <c r="U718" s="150"/>
      <c r="V718" s="150"/>
      <c r="W718" s="150"/>
      <c r="X718" s="150"/>
      <c r="Y718" s="150"/>
      <c r="Z718" s="152"/>
      <c r="AA718" s="143"/>
      <c r="AB718" s="154"/>
      <c r="AC718" s="152"/>
      <c r="AD718" s="152"/>
      <c r="AE718" s="154"/>
      <c r="AF718" s="154"/>
      <c r="AG718" s="154"/>
      <c r="AH718" s="154"/>
      <c r="AI718" s="154"/>
      <c r="AJ718" s="154"/>
      <c r="AK718" s="154"/>
      <c r="AL718" s="154"/>
      <c r="AM718" s="154"/>
      <c r="AN718" s="154"/>
      <c r="AO718" s="154"/>
      <c r="AP718" s="152"/>
      <c r="AQ718" s="154"/>
      <c r="AR718" s="154"/>
      <c r="AS718" s="154"/>
    </row>
    <row r="719" customFormat="false" ht="15" hidden="false" customHeight="false" outlineLevel="0" collapsed="false">
      <c r="A719" s="29"/>
      <c r="B719" s="147"/>
      <c r="C719" s="148"/>
      <c r="D719" s="149"/>
      <c r="E719" s="149"/>
      <c r="F719" s="149"/>
      <c r="G719" s="149"/>
      <c r="H719" s="150"/>
      <c r="I719" s="151"/>
      <c r="J719" s="151"/>
      <c r="K719" s="151"/>
      <c r="L719" s="151"/>
      <c r="M719" s="151"/>
      <c r="N719" s="151"/>
      <c r="O719" s="151"/>
      <c r="P719" s="151"/>
      <c r="Q719" s="151"/>
      <c r="R719" s="150"/>
      <c r="S719" s="150"/>
      <c r="T719" s="150"/>
      <c r="U719" s="150"/>
      <c r="V719" s="150"/>
      <c r="W719" s="150"/>
      <c r="X719" s="150"/>
      <c r="Y719" s="150"/>
      <c r="Z719" s="152"/>
      <c r="AA719" s="143"/>
      <c r="AB719" s="153"/>
      <c r="AC719" s="152"/>
      <c r="AD719" s="152"/>
      <c r="AE719" s="154"/>
      <c r="AF719" s="154"/>
      <c r="AG719" s="154"/>
      <c r="AH719" s="154"/>
      <c r="AI719" s="154"/>
      <c r="AJ719" s="154"/>
      <c r="AK719" s="154"/>
      <c r="AL719" s="154"/>
      <c r="AM719" s="154"/>
      <c r="AN719" s="154"/>
      <c r="AO719" s="154"/>
      <c r="AP719" s="152"/>
      <c r="AQ719" s="154"/>
      <c r="AR719" s="154"/>
      <c r="AS719" s="154"/>
    </row>
    <row r="720" customFormat="false" ht="15" hidden="false" customHeight="false" outlineLevel="0" collapsed="false">
      <c r="A720" s="29"/>
      <c r="B720" s="147"/>
      <c r="C720" s="155"/>
      <c r="D720" s="149"/>
      <c r="E720" s="149"/>
      <c r="F720" s="149"/>
      <c r="G720" s="149"/>
      <c r="H720" s="150"/>
      <c r="I720" s="151"/>
      <c r="J720" s="151"/>
      <c r="K720" s="151"/>
      <c r="L720" s="151"/>
      <c r="M720" s="151"/>
      <c r="N720" s="151"/>
      <c r="O720" s="151"/>
      <c r="P720" s="151"/>
      <c r="Q720" s="151"/>
      <c r="R720" s="150"/>
      <c r="S720" s="150"/>
      <c r="T720" s="150"/>
      <c r="U720" s="150"/>
      <c r="V720" s="150"/>
      <c r="W720" s="150"/>
      <c r="X720" s="150"/>
      <c r="Y720" s="150"/>
      <c r="Z720" s="152"/>
      <c r="AA720" s="143"/>
      <c r="AB720" s="154"/>
      <c r="AC720" s="152"/>
      <c r="AD720" s="152"/>
      <c r="AE720" s="154"/>
      <c r="AF720" s="154"/>
      <c r="AG720" s="154"/>
      <c r="AH720" s="154"/>
      <c r="AI720" s="154"/>
      <c r="AJ720" s="154"/>
      <c r="AK720" s="154"/>
      <c r="AL720" s="154"/>
      <c r="AM720" s="154"/>
      <c r="AN720" s="154"/>
      <c r="AO720" s="154"/>
      <c r="AP720" s="152"/>
      <c r="AQ720" s="154"/>
      <c r="AR720" s="154"/>
      <c r="AS720" s="154"/>
    </row>
    <row r="721" customFormat="false" ht="15" hidden="false" customHeight="false" outlineLevel="0" collapsed="false">
      <c r="A721" s="29"/>
      <c r="B721" s="147"/>
      <c r="C721" s="156"/>
      <c r="D721" s="149"/>
      <c r="E721" s="149"/>
      <c r="F721" s="149"/>
      <c r="G721" s="149"/>
      <c r="H721" s="150"/>
      <c r="I721" s="151"/>
      <c r="J721" s="151"/>
      <c r="K721" s="151"/>
      <c r="L721" s="151"/>
      <c r="M721" s="151"/>
      <c r="N721" s="151"/>
      <c r="O721" s="151"/>
      <c r="P721" s="151"/>
      <c r="Q721" s="151"/>
      <c r="R721" s="150"/>
      <c r="S721" s="150"/>
      <c r="T721" s="150"/>
      <c r="U721" s="150"/>
      <c r="V721" s="150"/>
      <c r="W721" s="150"/>
      <c r="X721" s="150"/>
      <c r="Y721" s="150"/>
      <c r="Z721" s="152"/>
      <c r="AA721" s="143"/>
      <c r="AB721" s="154"/>
      <c r="AC721" s="152"/>
      <c r="AD721" s="152"/>
      <c r="AE721" s="154"/>
      <c r="AF721" s="154"/>
      <c r="AG721" s="154"/>
      <c r="AH721" s="154"/>
      <c r="AI721" s="154"/>
      <c r="AJ721" s="154"/>
      <c r="AK721" s="154"/>
      <c r="AL721" s="154"/>
      <c r="AM721" s="154"/>
      <c r="AN721" s="154"/>
      <c r="AO721" s="154"/>
      <c r="AP721" s="152"/>
      <c r="AQ721" s="154"/>
      <c r="AR721" s="154"/>
      <c r="AS721" s="154"/>
    </row>
    <row r="722" customFormat="false" ht="15" hidden="false" customHeight="false" outlineLevel="0" collapsed="false">
      <c r="A722" s="29"/>
      <c r="B722" s="147"/>
      <c r="C722" s="148"/>
      <c r="D722" s="149"/>
      <c r="E722" s="149"/>
      <c r="F722" s="149"/>
      <c r="G722" s="149"/>
      <c r="H722" s="150"/>
      <c r="I722" s="151"/>
      <c r="J722" s="151"/>
      <c r="K722" s="151"/>
      <c r="L722" s="151"/>
      <c r="M722" s="151"/>
      <c r="N722" s="151"/>
      <c r="O722" s="151"/>
      <c r="P722" s="151"/>
      <c r="Q722" s="151"/>
      <c r="R722" s="150"/>
      <c r="S722" s="150"/>
      <c r="T722" s="150"/>
      <c r="U722" s="150"/>
      <c r="V722" s="150"/>
      <c r="W722" s="150"/>
      <c r="X722" s="150"/>
      <c r="Y722" s="150"/>
      <c r="Z722" s="152"/>
      <c r="AA722" s="143"/>
      <c r="AB722" s="153"/>
      <c r="AC722" s="152"/>
      <c r="AD722" s="152"/>
      <c r="AE722" s="154"/>
      <c r="AF722" s="154"/>
      <c r="AG722" s="154"/>
      <c r="AH722" s="154"/>
      <c r="AI722" s="154"/>
      <c r="AJ722" s="154"/>
      <c r="AK722" s="154"/>
      <c r="AL722" s="154"/>
      <c r="AM722" s="154"/>
      <c r="AN722" s="154"/>
      <c r="AO722" s="154"/>
      <c r="AP722" s="152"/>
      <c r="AQ722" s="154"/>
      <c r="AR722" s="154"/>
      <c r="AS722" s="154"/>
    </row>
    <row r="723" customFormat="false" ht="15" hidden="false" customHeight="false" outlineLevel="0" collapsed="false">
      <c r="A723" s="29"/>
      <c r="B723" s="147"/>
      <c r="C723" s="155"/>
      <c r="D723" s="149"/>
      <c r="E723" s="149"/>
      <c r="F723" s="149"/>
      <c r="G723" s="149"/>
      <c r="H723" s="150"/>
      <c r="I723" s="151"/>
      <c r="J723" s="151"/>
      <c r="K723" s="151"/>
      <c r="L723" s="151"/>
      <c r="M723" s="151"/>
      <c r="N723" s="151"/>
      <c r="O723" s="151"/>
      <c r="P723" s="151"/>
      <c r="Q723" s="151"/>
      <c r="R723" s="150"/>
      <c r="S723" s="150"/>
      <c r="T723" s="150"/>
      <c r="U723" s="150"/>
      <c r="V723" s="150"/>
      <c r="W723" s="150"/>
      <c r="X723" s="150"/>
      <c r="Y723" s="150"/>
      <c r="Z723" s="152"/>
      <c r="AA723" s="143"/>
      <c r="AB723" s="154"/>
      <c r="AC723" s="152"/>
      <c r="AD723" s="152"/>
      <c r="AE723" s="154"/>
      <c r="AF723" s="154"/>
      <c r="AG723" s="154"/>
      <c r="AH723" s="154"/>
      <c r="AI723" s="154"/>
      <c r="AJ723" s="154"/>
      <c r="AK723" s="154"/>
      <c r="AL723" s="154"/>
      <c r="AM723" s="154"/>
      <c r="AN723" s="154"/>
      <c r="AO723" s="154"/>
      <c r="AP723" s="152"/>
      <c r="AQ723" s="154"/>
      <c r="AR723" s="154"/>
      <c r="AS723" s="154"/>
    </row>
    <row r="724" customFormat="false" ht="15" hidden="false" customHeight="false" outlineLevel="0" collapsed="false">
      <c r="A724" s="29"/>
      <c r="B724" s="147"/>
      <c r="C724" s="156"/>
      <c r="D724" s="149"/>
      <c r="E724" s="149"/>
      <c r="F724" s="149"/>
      <c r="G724" s="149"/>
      <c r="H724" s="150"/>
      <c r="I724" s="151"/>
      <c r="J724" s="151"/>
      <c r="K724" s="151"/>
      <c r="L724" s="151"/>
      <c r="M724" s="151"/>
      <c r="N724" s="151"/>
      <c r="O724" s="151"/>
      <c r="P724" s="151"/>
      <c r="Q724" s="151"/>
      <c r="R724" s="150"/>
      <c r="S724" s="150"/>
      <c r="T724" s="150"/>
      <c r="U724" s="150"/>
      <c r="V724" s="150"/>
      <c r="W724" s="150"/>
      <c r="X724" s="150"/>
      <c r="Y724" s="150"/>
      <c r="Z724" s="152"/>
      <c r="AA724" s="143"/>
      <c r="AB724" s="154"/>
      <c r="AC724" s="152"/>
      <c r="AD724" s="152"/>
      <c r="AE724" s="154"/>
      <c r="AF724" s="154"/>
      <c r="AG724" s="154"/>
      <c r="AH724" s="154"/>
      <c r="AI724" s="154"/>
      <c r="AJ724" s="154"/>
      <c r="AK724" s="154"/>
      <c r="AL724" s="154"/>
      <c r="AM724" s="154"/>
      <c r="AN724" s="154"/>
      <c r="AO724" s="154"/>
      <c r="AP724" s="152"/>
      <c r="AQ724" s="154"/>
      <c r="AR724" s="154"/>
      <c r="AS724" s="154"/>
    </row>
    <row r="725" customFormat="false" ht="15" hidden="false" customHeight="false" outlineLevel="0" collapsed="false">
      <c r="A725" s="29"/>
      <c r="B725" s="147"/>
      <c r="C725" s="148"/>
      <c r="D725" s="149"/>
      <c r="E725" s="149"/>
      <c r="F725" s="149"/>
      <c r="G725" s="149"/>
      <c r="H725" s="150"/>
      <c r="I725" s="151"/>
      <c r="J725" s="151"/>
      <c r="K725" s="151"/>
      <c r="L725" s="151"/>
      <c r="M725" s="151"/>
      <c r="N725" s="151"/>
      <c r="O725" s="151"/>
      <c r="P725" s="151"/>
      <c r="Q725" s="151"/>
      <c r="R725" s="150"/>
      <c r="S725" s="150"/>
      <c r="T725" s="150"/>
      <c r="U725" s="150"/>
      <c r="V725" s="150"/>
      <c r="W725" s="150"/>
      <c r="X725" s="150"/>
      <c r="Y725" s="150"/>
      <c r="Z725" s="152"/>
      <c r="AA725" s="143"/>
      <c r="AB725" s="153"/>
      <c r="AC725" s="152"/>
      <c r="AD725" s="152"/>
      <c r="AE725" s="154"/>
      <c r="AF725" s="154"/>
      <c r="AG725" s="154"/>
      <c r="AH725" s="154"/>
      <c r="AI725" s="154"/>
      <c r="AJ725" s="154"/>
      <c r="AK725" s="154"/>
      <c r="AL725" s="154"/>
      <c r="AM725" s="154"/>
      <c r="AN725" s="154"/>
      <c r="AO725" s="154"/>
      <c r="AP725" s="152"/>
      <c r="AQ725" s="154"/>
      <c r="AR725" s="154"/>
      <c r="AS725" s="154"/>
    </row>
    <row r="726" customFormat="false" ht="15" hidden="false" customHeight="false" outlineLevel="0" collapsed="false">
      <c r="A726" s="29"/>
      <c r="B726" s="147"/>
      <c r="C726" s="155"/>
      <c r="D726" s="149"/>
      <c r="E726" s="149"/>
      <c r="F726" s="149"/>
      <c r="G726" s="149"/>
      <c r="H726" s="150"/>
      <c r="I726" s="151"/>
      <c r="J726" s="151"/>
      <c r="K726" s="151"/>
      <c r="L726" s="151"/>
      <c r="M726" s="151"/>
      <c r="N726" s="151"/>
      <c r="O726" s="151"/>
      <c r="P726" s="151"/>
      <c r="Q726" s="151"/>
      <c r="R726" s="150"/>
      <c r="S726" s="150"/>
      <c r="T726" s="150"/>
      <c r="U726" s="150"/>
      <c r="V726" s="150"/>
      <c r="W726" s="150"/>
      <c r="X726" s="150"/>
      <c r="Y726" s="150"/>
      <c r="Z726" s="152"/>
      <c r="AA726" s="143"/>
      <c r="AB726" s="154"/>
      <c r="AC726" s="152"/>
      <c r="AD726" s="152"/>
      <c r="AE726" s="154"/>
      <c r="AF726" s="154"/>
      <c r="AG726" s="154"/>
      <c r="AH726" s="154"/>
      <c r="AI726" s="154"/>
      <c r="AJ726" s="154"/>
      <c r="AK726" s="154"/>
      <c r="AL726" s="154"/>
      <c r="AM726" s="154"/>
      <c r="AN726" s="154"/>
      <c r="AO726" s="154"/>
      <c r="AP726" s="152"/>
      <c r="AQ726" s="154"/>
      <c r="AR726" s="154"/>
      <c r="AS726" s="154"/>
    </row>
    <row r="727" customFormat="false" ht="15" hidden="false" customHeight="false" outlineLevel="0" collapsed="false">
      <c r="A727" s="29"/>
      <c r="B727" s="147"/>
      <c r="C727" s="156"/>
      <c r="D727" s="149"/>
      <c r="E727" s="149"/>
      <c r="F727" s="149"/>
      <c r="G727" s="149"/>
      <c r="H727" s="150"/>
      <c r="I727" s="151"/>
      <c r="J727" s="151"/>
      <c r="K727" s="151"/>
      <c r="L727" s="151"/>
      <c r="M727" s="151"/>
      <c r="N727" s="151"/>
      <c r="O727" s="151"/>
      <c r="P727" s="151"/>
      <c r="Q727" s="151"/>
      <c r="R727" s="150"/>
      <c r="S727" s="150"/>
      <c r="T727" s="150"/>
      <c r="U727" s="150"/>
      <c r="V727" s="150"/>
      <c r="W727" s="150"/>
      <c r="X727" s="150"/>
      <c r="Y727" s="150"/>
      <c r="Z727" s="152"/>
      <c r="AA727" s="143"/>
      <c r="AB727" s="154"/>
      <c r="AC727" s="152"/>
      <c r="AD727" s="152"/>
      <c r="AE727" s="154"/>
      <c r="AF727" s="154"/>
      <c r="AG727" s="154"/>
      <c r="AH727" s="154"/>
      <c r="AI727" s="154"/>
      <c r="AJ727" s="154"/>
      <c r="AK727" s="154"/>
      <c r="AL727" s="154"/>
      <c r="AM727" s="154"/>
      <c r="AN727" s="154"/>
      <c r="AO727" s="154"/>
      <c r="AP727" s="152"/>
      <c r="AQ727" s="154"/>
      <c r="AR727" s="154"/>
      <c r="AS727" s="154"/>
    </row>
    <row r="728" customFormat="false" ht="15" hidden="false" customHeight="false" outlineLevel="0" collapsed="false">
      <c r="A728" s="29"/>
      <c r="B728" s="147"/>
      <c r="C728" s="148"/>
      <c r="D728" s="149"/>
      <c r="E728" s="149"/>
      <c r="F728" s="149"/>
      <c r="G728" s="149"/>
      <c r="H728" s="150"/>
      <c r="I728" s="151"/>
      <c r="J728" s="151"/>
      <c r="K728" s="151"/>
      <c r="L728" s="151"/>
      <c r="M728" s="151"/>
      <c r="N728" s="151"/>
      <c r="O728" s="151"/>
      <c r="P728" s="151"/>
      <c r="Q728" s="151"/>
      <c r="R728" s="150"/>
      <c r="S728" s="150"/>
      <c r="T728" s="150"/>
      <c r="U728" s="150"/>
      <c r="V728" s="150"/>
      <c r="W728" s="150"/>
      <c r="X728" s="150"/>
      <c r="Y728" s="150"/>
      <c r="Z728" s="152"/>
      <c r="AA728" s="143"/>
      <c r="AB728" s="153"/>
      <c r="AC728" s="152"/>
      <c r="AD728" s="152"/>
      <c r="AE728" s="154"/>
      <c r="AF728" s="154"/>
      <c r="AG728" s="154"/>
      <c r="AH728" s="154"/>
      <c r="AI728" s="154"/>
      <c r="AJ728" s="154"/>
      <c r="AK728" s="154"/>
      <c r="AL728" s="154"/>
      <c r="AM728" s="154"/>
      <c r="AN728" s="154"/>
      <c r="AO728" s="154"/>
      <c r="AP728" s="152"/>
      <c r="AQ728" s="154"/>
      <c r="AR728" s="154"/>
      <c r="AS728" s="154"/>
    </row>
    <row r="729" customFormat="false" ht="15" hidden="false" customHeight="false" outlineLevel="0" collapsed="false">
      <c r="A729" s="29"/>
      <c r="B729" s="147"/>
      <c r="C729" s="155"/>
      <c r="D729" s="149"/>
      <c r="E729" s="149"/>
      <c r="F729" s="149"/>
      <c r="G729" s="149"/>
      <c r="H729" s="150"/>
      <c r="I729" s="151"/>
      <c r="J729" s="151"/>
      <c r="K729" s="151"/>
      <c r="L729" s="151"/>
      <c r="M729" s="151"/>
      <c r="N729" s="151"/>
      <c r="O729" s="151"/>
      <c r="P729" s="151"/>
      <c r="Q729" s="151"/>
      <c r="R729" s="150"/>
      <c r="S729" s="150"/>
      <c r="T729" s="150"/>
      <c r="U729" s="150"/>
      <c r="V729" s="150"/>
      <c r="W729" s="150"/>
      <c r="X729" s="150"/>
      <c r="Y729" s="150"/>
      <c r="Z729" s="152"/>
      <c r="AA729" s="143"/>
      <c r="AB729" s="154"/>
      <c r="AC729" s="152"/>
      <c r="AD729" s="152"/>
      <c r="AE729" s="154"/>
      <c r="AF729" s="154"/>
      <c r="AG729" s="154"/>
      <c r="AH729" s="154"/>
      <c r="AI729" s="154"/>
      <c r="AJ729" s="154"/>
      <c r="AK729" s="154"/>
      <c r="AL729" s="154"/>
      <c r="AM729" s="154"/>
      <c r="AN729" s="154"/>
      <c r="AO729" s="154"/>
      <c r="AP729" s="152"/>
      <c r="AQ729" s="154"/>
      <c r="AR729" s="154"/>
      <c r="AS729" s="154"/>
    </row>
    <row r="730" customFormat="false" ht="15" hidden="false" customHeight="false" outlineLevel="0" collapsed="false">
      <c r="A730" s="29"/>
      <c r="B730" s="147"/>
      <c r="C730" s="156"/>
      <c r="D730" s="149"/>
      <c r="E730" s="149"/>
      <c r="F730" s="149"/>
      <c r="G730" s="149"/>
      <c r="H730" s="150"/>
      <c r="I730" s="151"/>
      <c r="J730" s="151"/>
      <c r="K730" s="151"/>
      <c r="L730" s="151"/>
      <c r="M730" s="151"/>
      <c r="N730" s="151"/>
      <c r="O730" s="151"/>
      <c r="P730" s="151"/>
      <c r="Q730" s="151"/>
      <c r="R730" s="150"/>
      <c r="S730" s="150"/>
      <c r="T730" s="150"/>
      <c r="U730" s="150"/>
      <c r="V730" s="150"/>
      <c r="W730" s="150"/>
      <c r="X730" s="150"/>
      <c r="Y730" s="150"/>
      <c r="Z730" s="152"/>
      <c r="AA730" s="143"/>
      <c r="AB730" s="154"/>
      <c r="AC730" s="152"/>
      <c r="AD730" s="152"/>
      <c r="AE730" s="154"/>
      <c r="AF730" s="154"/>
      <c r="AG730" s="154"/>
      <c r="AH730" s="154"/>
      <c r="AI730" s="154"/>
      <c r="AJ730" s="154"/>
      <c r="AK730" s="154"/>
      <c r="AL730" s="154"/>
      <c r="AM730" s="154"/>
      <c r="AN730" s="154"/>
      <c r="AO730" s="154"/>
      <c r="AP730" s="152"/>
      <c r="AQ730" s="154"/>
      <c r="AR730" s="154"/>
      <c r="AS730" s="154"/>
    </row>
    <row r="731" customFormat="false" ht="15" hidden="false" customHeight="false" outlineLevel="0" collapsed="false">
      <c r="A731" s="29"/>
      <c r="B731" s="147"/>
      <c r="C731" s="148"/>
      <c r="D731" s="149"/>
      <c r="E731" s="149"/>
      <c r="F731" s="149"/>
      <c r="G731" s="149"/>
      <c r="H731" s="150"/>
      <c r="I731" s="151"/>
      <c r="J731" s="151"/>
      <c r="K731" s="151"/>
      <c r="L731" s="151"/>
      <c r="M731" s="151"/>
      <c r="N731" s="151"/>
      <c r="O731" s="151"/>
      <c r="P731" s="151"/>
      <c r="Q731" s="151"/>
      <c r="R731" s="150"/>
      <c r="S731" s="150"/>
      <c r="T731" s="150"/>
      <c r="U731" s="150"/>
      <c r="V731" s="150"/>
      <c r="W731" s="150"/>
      <c r="X731" s="150"/>
      <c r="Y731" s="150"/>
      <c r="Z731" s="152"/>
      <c r="AA731" s="143"/>
      <c r="AB731" s="153"/>
      <c r="AC731" s="152"/>
      <c r="AD731" s="152"/>
      <c r="AE731" s="154"/>
      <c r="AF731" s="154"/>
      <c r="AG731" s="154"/>
      <c r="AH731" s="154"/>
      <c r="AI731" s="154"/>
      <c r="AJ731" s="154"/>
      <c r="AK731" s="154"/>
      <c r="AL731" s="154"/>
      <c r="AM731" s="154"/>
      <c r="AN731" s="154"/>
      <c r="AO731" s="154"/>
      <c r="AP731" s="152"/>
      <c r="AQ731" s="154"/>
      <c r="AR731" s="154"/>
      <c r="AS731" s="154"/>
    </row>
    <row r="732" customFormat="false" ht="15" hidden="false" customHeight="false" outlineLevel="0" collapsed="false">
      <c r="A732" s="29"/>
      <c r="B732" s="147"/>
      <c r="C732" s="155"/>
      <c r="D732" s="149"/>
      <c r="E732" s="149"/>
      <c r="F732" s="149"/>
      <c r="G732" s="149"/>
      <c r="H732" s="150"/>
      <c r="I732" s="151"/>
      <c r="J732" s="151"/>
      <c r="K732" s="151"/>
      <c r="L732" s="151"/>
      <c r="M732" s="151"/>
      <c r="N732" s="151"/>
      <c r="O732" s="151"/>
      <c r="P732" s="151"/>
      <c r="Q732" s="151"/>
      <c r="R732" s="150"/>
      <c r="S732" s="150"/>
      <c r="T732" s="150"/>
      <c r="U732" s="150"/>
      <c r="V732" s="150"/>
      <c r="W732" s="150"/>
      <c r="X732" s="150"/>
      <c r="Y732" s="150"/>
      <c r="Z732" s="152"/>
      <c r="AA732" s="143"/>
      <c r="AB732" s="154"/>
      <c r="AC732" s="152"/>
      <c r="AD732" s="152"/>
      <c r="AE732" s="154"/>
      <c r="AF732" s="154"/>
      <c r="AG732" s="154"/>
      <c r="AH732" s="154"/>
      <c r="AI732" s="154"/>
      <c r="AJ732" s="154"/>
      <c r="AK732" s="154"/>
      <c r="AL732" s="154"/>
      <c r="AM732" s="154"/>
      <c r="AN732" s="154"/>
      <c r="AO732" s="154"/>
      <c r="AP732" s="152"/>
      <c r="AQ732" s="154"/>
      <c r="AR732" s="154"/>
      <c r="AS732" s="154"/>
    </row>
    <row r="733" customFormat="false" ht="15" hidden="false" customHeight="false" outlineLevel="0" collapsed="false">
      <c r="A733" s="29"/>
      <c r="B733" s="147"/>
      <c r="C733" s="156"/>
      <c r="D733" s="149"/>
      <c r="E733" s="149"/>
      <c r="F733" s="149"/>
      <c r="G733" s="149"/>
      <c r="H733" s="150"/>
      <c r="I733" s="151"/>
      <c r="J733" s="151"/>
      <c r="K733" s="151"/>
      <c r="L733" s="151"/>
      <c r="M733" s="151"/>
      <c r="N733" s="151"/>
      <c r="O733" s="151"/>
      <c r="P733" s="151"/>
      <c r="Q733" s="151"/>
      <c r="R733" s="150"/>
      <c r="S733" s="150"/>
      <c r="T733" s="150"/>
      <c r="U733" s="150"/>
      <c r="V733" s="150"/>
      <c r="W733" s="150"/>
      <c r="X733" s="150"/>
      <c r="Y733" s="150"/>
      <c r="Z733" s="152"/>
      <c r="AA733" s="143"/>
      <c r="AB733" s="154"/>
      <c r="AC733" s="152"/>
      <c r="AD733" s="152"/>
      <c r="AE733" s="154"/>
      <c r="AF733" s="154"/>
      <c r="AG733" s="154"/>
      <c r="AH733" s="154"/>
      <c r="AI733" s="154"/>
      <c r="AJ733" s="154"/>
      <c r="AK733" s="154"/>
      <c r="AL733" s="154"/>
      <c r="AM733" s="154"/>
      <c r="AN733" s="154"/>
      <c r="AO733" s="154"/>
      <c r="AP733" s="152"/>
      <c r="AQ733" s="154"/>
      <c r="AR733" s="154"/>
      <c r="AS733" s="154"/>
    </row>
    <row r="735" customFormat="false" ht="14.25" hidden="false" customHeight="false" outlineLevel="0" collapsed="false">
      <c r="B735" s="157"/>
      <c r="C735" s="158"/>
      <c r="D735" s="53"/>
      <c r="E735" s="53"/>
      <c r="F735" s="53"/>
      <c r="G735" s="53"/>
      <c r="H735" s="54"/>
      <c r="I735" s="55"/>
      <c r="J735" s="54"/>
      <c r="K735" s="55"/>
      <c r="L735" s="54"/>
      <c r="M735" s="54"/>
      <c r="N735" s="54"/>
      <c r="O735" s="54"/>
      <c r="P735" s="54"/>
      <c r="Q735" s="57"/>
      <c r="R735" s="54"/>
      <c r="S735" s="54"/>
      <c r="T735" s="57"/>
      <c r="U735" s="54"/>
      <c r="V735" s="54"/>
      <c r="W735" s="54"/>
      <c r="X735" s="54"/>
      <c r="Y735" s="54"/>
      <c r="Z735" s="157"/>
      <c r="AA735" s="53"/>
      <c r="AE735" s="157"/>
      <c r="AI735" s="157"/>
      <c r="AJ735" s="157"/>
      <c r="AK735" s="157"/>
      <c r="AL735" s="157"/>
    </row>
    <row r="784" customFormat="false" ht="14.25" hidden="false" customHeight="false" outlineLevel="0" collapsed="false">
      <c r="A784" s="105"/>
      <c r="B784" s="105"/>
      <c r="C784" s="105"/>
      <c r="D784" s="105"/>
      <c r="E784" s="105"/>
      <c r="F784" s="105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  <c r="Z784" s="105"/>
      <c r="AA784" s="105"/>
      <c r="AB784" s="105"/>
      <c r="AC784" s="105"/>
      <c r="AD784" s="105"/>
      <c r="AE784" s="105"/>
      <c r="AF784" s="105"/>
      <c r="AG784" s="105"/>
      <c r="AH784" s="105"/>
      <c r="AI784" s="105"/>
      <c r="AJ784" s="105"/>
      <c r="AK784" s="105"/>
      <c r="AL784" s="105"/>
      <c r="AM784" s="105"/>
      <c r="AN784" s="105"/>
      <c r="AO784" s="105"/>
      <c r="AP784" s="105"/>
      <c r="AQ784" s="105"/>
      <c r="AR784" s="105"/>
      <c r="AS784" s="105"/>
    </row>
    <row r="785" customFormat="false" ht="14.25" hidden="false" customHeight="false" outlineLevel="0" collapsed="false">
      <c r="A785" s="105"/>
      <c r="B785" s="105"/>
      <c r="C785" s="105"/>
      <c r="D785" s="105"/>
      <c r="E785" s="105"/>
      <c r="F785" s="105"/>
      <c r="G785" s="105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  <c r="Z785" s="105"/>
      <c r="AA785" s="105"/>
      <c r="AB785" s="105"/>
      <c r="AC785" s="105"/>
      <c r="AD785" s="105"/>
      <c r="AE785" s="105"/>
      <c r="AF785" s="105"/>
      <c r="AG785" s="105"/>
      <c r="AH785" s="105"/>
      <c r="AI785" s="105"/>
      <c r="AJ785" s="105"/>
      <c r="AK785" s="105"/>
      <c r="AL785" s="105"/>
      <c r="AM785" s="105"/>
      <c r="AN785" s="105"/>
      <c r="AO785" s="105"/>
      <c r="AP785" s="105"/>
      <c r="AQ785" s="105"/>
      <c r="AR785" s="105"/>
      <c r="AS785" s="105"/>
    </row>
    <row r="786" customFormat="false" ht="17.25" hidden="false" customHeight="false" outlineLevel="0" collapsed="false">
      <c r="A786" s="106"/>
      <c r="B786" s="106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  <c r="AA786" s="106"/>
      <c r="AB786" s="106"/>
      <c r="AC786" s="106"/>
      <c r="AD786" s="106"/>
      <c r="AE786" s="106"/>
      <c r="AF786" s="106"/>
      <c r="AG786" s="106"/>
      <c r="AH786" s="106"/>
      <c r="AI786" s="106"/>
      <c r="AJ786" s="106"/>
      <c r="AK786" s="106"/>
      <c r="AL786" s="106"/>
      <c r="AM786" s="106"/>
      <c r="AN786" s="106"/>
      <c r="AO786" s="106"/>
      <c r="AP786" s="106"/>
      <c r="AQ786" s="106"/>
      <c r="AR786" s="106"/>
      <c r="AS786" s="106"/>
    </row>
    <row r="787" customFormat="false" ht="15" hidden="false" customHeight="false" outlineLevel="0" collapsed="false">
      <c r="A787" s="107"/>
      <c r="B787" s="107"/>
      <c r="C787" s="108"/>
      <c r="D787" s="109"/>
      <c r="E787" s="109"/>
      <c r="F787" s="109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  <c r="Y787" s="109"/>
      <c r="Z787" s="109"/>
      <c r="AA787" s="110"/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2"/>
      <c r="AN787" s="113"/>
      <c r="AO787" s="113"/>
      <c r="AP787" s="114"/>
      <c r="AQ787" s="114"/>
      <c r="AR787" s="114"/>
      <c r="AS787" s="114"/>
    </row>
    <row r="788" customFormat="false" ht="15" hidden="false" customHeight="false" outlineLevel="0" collapsed="false">
      <c r="A788" s="107"/>
      <c r="B788" s="107"/>
      <c r="C788" s="60"/>
      <c r="D788" s="110"/>
      <c r="E788" s="110"/>
      <c r="F788" s="110"/>
      <c r="G788" s="110"/>
      <c r="H788" s="115"/>
      <c r="I788" s="115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  <c r="Y788" s="109"/>
      <c r="Z788" s="109"/>
      <c r="AA788" s="110"/>
      <c r="AB788" s="115"/>
      <c r="AC788" s="115"/>
      <c r="AD788" s="115"/>
      <c r="AE788" s="111"/>
      <c r="AF788" s="111"/>
      <c r="AG788" s="111"/>
      <c r="AH788" s="111"/>
      <c r="AI788" s="115"/>
      <c r="AJ788" s="115"/>
      <c r="AK788" s="115"/>
      <c r="AL788" s="115"/>
      <c r="AM788" s="112"/>
      <c r="AN788" s="116"/>
      <c r="AO788" s="116"/>
      <c r="AP788" s="114"/>
      <c r="AQ788" s="114"/>
      <c r="AR788" s="114"/>
      <c r="AS788" s="114"/>
    </row>
    <row r="789" customFormat="false" ht="15.75" hidden="false" customHeight="false" outlineLevel="0" collapsed="false">
      <c r="A789" s="107"/>
      <c r="B789" s="107"/>
      <c r="C789" s="60"/>
      <c r="D789" s="110"/>
      <c r="E789" s="110"/>
      <c r="F789" s="110"/>
      <c r="G789" s="110"/>
      <c r="H789" s="115"/>
      <c r="I789" s="115"/>
      <c r="J789" s="117"/>
      <c r="K789" s="117"/>
      <c r="L789" s="117"/>
      <c r="M789" s="117"/>
      <c r="N789" s="117"/>
      <c r="O789" s="117"/>
      <c r="P789" s="117"/>
      <c r="Q789" s="117"/>
      <c r="R789" s="117"/>
      <c r="S789" s="117"/>
      <c r="T789" s="117"/>
      <c r="U789" s="117"/>
      <c r="V789" s="117"/>
      <c r="W789" s="117"/>
      <c r="X789" s="117"/>
      <c r="Y789" s="117"/>
      <c r="Z789" s="117"/>
      <c r="AA789" s="117"/>
      <c r="AB789" s="115"/>
      <c r="AC789" s="115"/>
      <c r="AD789" s="115"/>
      <c r="AE789" s="115"/>
      <c r="AF789" s="115"/>
      <c r="AG789" s="115"/>
      <c r="AH789" s="115"/>
      <c r="AI789" s="115"/>
      <c r="AJ789" s="115"/>
      <c r="AK789" s="115"/>
      <c r="AL789" s="115"/>
      <c r="AM789" s="112"/>
      <c r="AN789" s="118"/>
      <c r="AO789" s="118"/>
      <c r="AP789" s="114"/>
      <c r="AQ789" s="114"/>
      <c r="AR789" s="114"/>
      <c r="AS789" s="114"/>
    </row>
    <row r="790" customFormat="false" ht="14.25" hidden="false" customHeight="false" outlineLevel="0" collapsed="false">
      <c r="A790" s="119"/>
      <c r="B790" s="120"/>
      <c r="C790" s="121"/>
      <c r="D790" s="122"/>
      <c r="E790" s="12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  <c r="AA790" s="123"/>
      <c r="AB790" s="123"/>
      <c r="AC790" s="124"/>
      <c r="AD790" s="124"/>
      <c r="AE790" s="124"/>
      <c r="AF790" s="124"/>
      <c r="AG790" s="124"/>
      <c r="AH790" s="124"/>
      <c r="AI790" s="124"/>
      <c r="AJ790" s="124"/>
      <c r="AK790" s="124"/>
      <c r="AL790" s="124"/>
      <c r="AM790" s="124"/>
      <c r="AN790" s="124"/>
      <c r="AO790" s="124"/>
      <c r="AP790" s="124"/>
      <c r="AQ790" s="125"/>
      <c r="AR790" s="125"/>
      <c r="AS790" s="125"/>
    </row>
    <row r="791" customFormat="false" ht="15" hidden="false" customHeight="false" outlineLevel="0" collapsed="false">
      <c r="A791" s="119"/>
      <c r="B791" s="120"/>
      <c r="C791" s="126"/>
      <c r="D791" s="127"/>
      <c r="E791" s="127"/>
      <c r="F791" s="127"/>
      <c r="G791" s="127"/>
      <c r="H791" s="159"/>
      <c r="I791" s="159"/>
      <c r="J791" s="159"/>
      <c r="K791" s="159"/>
      <c r="L791" s="159"/>
      <c r="M791" s="159"/>
      <c r="N791" s="159"/>
      <c r="O791" s="159"/>
      <c r="P791" s="159"/>
      <c r="Q791" s="159"/>
      <c r="R791" s="160"/>
      <c r="S791" s="160"/>
      <c r="T791" s="160"/>
      <c r="U791" s="160"/>
      <c r="V791" s="160"/>
      <c r="W791" s="160"/>
      <c r="X791" s="160"/>
      <c r="Y791" s="160"/>
      <c r="Z791" s="130"/>
      <c r="AA791" s="123"/>
      <c r="AB791" s="123"/>
      <c r="AC791" s="131"/>
      <c r="AD791" s="131"/>
      <c r="AE791" s="131"/>
      <c r="AF791" s="131"/>
      <c r="AG791" s="131"/>
      <c r="AH791" s="131"/>
      <c r="AI791" s="131"/>
      <c r="AJ791" s="132"/>
      <c r="AK791" s="132"/>
      <c r="AL791" s="132"/>
      <c r="AM791" s="132"/>
      <c r="AN791" s="132"/>
      <c r="AO791" s="132"/>
      <c r="AP791" s="132"/>
      <c r="AQ791" s="125"/>
      <c r="AR791" s="125"/>
      <c r="AS791" s="125"/>
    </row>
    <row r="792" customFormat="false" ht="15" hidden="false" customHeight="false" outlineLevel="0" collapsed="false">
      <c r="A792" s="119"/>
      <c r="B792" s="120"/>
      <c r="C792" s="126"/>
      <c r="D792" s="127"/>
      <c r="E792" s="127"/>
      <c r="F792" s="127"/>
      <c r="G792" s="127"/>
      <c r="H792" s="160"/>
      <c r="I792" s="159"/>
      <c r="J792" s="160"/>
      <c r="K792" s="160"/>
      <c r="L792" s="160"/>
      <c r="M792" s="160"/>
      <c r="N792" s="160"/>
      <c r="O792" s="160"/>
      <c r="P792" s="160"/>
      <c r="Q792" s="161"/>
      <c r="R792" s="159"/>
      <c r="S792" s="159"/>
      <c r="T792" s="159"/>
      <c r="U792" s="159"/>
      <c r="V792" s="159"/>
      <c r="W792" s="160"/>
      <c r="X792" s="160"/>
      <c r="Y792" s="160"/>
      <c r="Z792" s="130"/>
      <c r="AA792" s="123"/>
      <c r="AB792" s="123"/>
      <c r="AC792" s="133"/>
      <c r="AD792" s="134"/>
      <c r="AE792" s="136"/>
      <c r="AF792" s="136"/>
      <c r="AG792" s="137"/>
      <c r="AH792" s="137"/>
      <c r="AI792" s="136"/>
      <c r="AJ792" s="136"/>
      <c r="AK792" s="137"/>
      <c r="AL792" s="136"/>
      <c r="AM792" s="136"/>
      <c r="AN792" s="137"/>
      <c r="AO792" s="137"/>
      <c r="AP792" s="133"/>
      <c r="AQ792" s="125"/>
      <c r="AR792" s="125"/>
      <c r="AS792" s="125"/>
    </row>
    <row r="793" customFormat="false" ht="15" hidden="false" customHeight="false" outlineLevel="0" collapsed="false">
      <c r="A793" s="119"/>
      <c r="B793" s="120"/>
      <c r="C793" s="140"/>
      <c r="D793" s="127"/>
      <c r="E793" s="127"/>
      <c r="F793" s="127"/>
      <c r="G793" s="127"/>
      <c r="H793" s="162"/>
      <c r="I793" s="162"/>
      <c r="J793" s="159"/>
      <c r="K793" s="162"/>
      <c r="L793" s="162"/>
      <c r="M793" s="162"/>
      <c r="N793" s="162"/>
      <c r="O793" s="162"/>
      <c r="P793" s="162"/>
      <c r="Q793" s="162"/>
      <c r="R793" s="162"/>
      <c r="S793" s="163"/>
      <c r="T793" s="163"/>
      <c r="U793" s="163"/>
      <c r="V793" s="159"/>
      <c r="W793" s="159"/>
      <c r="X793" s="159"/>
      <c r="Y793" s="159"/>
      <c r="Z793" s="143"/>
      <c r="AA793" s="123"/>
      <c r="AB793" s="123"/>
      <c r="AC793" s="133"/>
      <c r="AD793" s="144"/>
      <c r="AE793" s="136"/>
      <c r="AF793" s="136"/>
      <c r="AG793" s="145"/>
      <c r="AH793" s="145"/>
      <c r="AI793" s="136"/>
      <c r="AJ793" s="136"/>
      <c r="AK793" s="145"/>
      <c r="AL793" s="136"/>
      <c r="AM793" s="136"/>
      <c r="AN793" s="145"/>
      <c r="AO793" s="145"/>
      <c r="AP793" s="133"/>
      <c r="AQ793" s="125"/>
      <c r="AR793" s="125"/>
      <c r="AS793" s="125"/>
    </row>
    <row r="794" customFormat="false" ht="14.25" hidden="false" customHeight="false" outlineLevel="0" collapsed="false">
      <c r="A794" s="29"/>
      <c r="B794" s="147"/>
      <c r="C794" s="148"/>
      <c r="D794" s="149"/>
      <c r="E794" s="149"/>
      <c r="F794" s="149"/>
      <c r="G794" s="149"/>
      <c r="H794" s="141"/>
      <c r="I794" s="143"/>
      <c r="J794" s="143"/>
      <c r="K794" s="143"/>
      <c r="L794" s="143"/>
      <c r="M794" s="143"/>
      <c r="N794" s="143"/>
      <c r="O794" s="143"/>
      <c r="P794" s="143"/>
      <c r="Q794" s="143"/>
      <c r="R794" s="143"/>
      <c r="S794" s="143"/>
      <c r="T794" s="143"/>
      <c r="U794" s="143"/>
      <c r="V794" s="143"/>
      <c r="W794" s="143"/>
      <c r="X794" s="143"/>
      <c r="Y794" s="143"/>
      <c r="Z794" s="152"/>
      <c r="AA794" s="143"/>
      <c r="AB794" s="154"/>
      <c r="AC794" s="152"/>
      <c r="AD794" s="152"/>
      <c r="AE794" s="154"/>
      <c r="AF794" s="154"/>
      <c r="AG794" s="154"/>
      <c r="AH794" s="154"/>
      <c r="AI794" s="154"/>
      <c r="AJ794" s="154"/>
      <c r="AK794" s="154"/>
      <c r="AL794" s="154"/>
      <c r="AM794" s="154"/>
      <c r="AN794" s="154"/>
      <c r="AO794" s="154"/>
      <c r="AP794" s="152"/>
      <c r="AQ794" s="154"/>
      <c r="AR794" s="154"/>
      <c r="AS794" s="154"/>
    </row>
    <row r="795" customFormat="false" ht="14.25" hidden="false" customHeight="false" outlineLevel="0" collapsed="false">
      <c r="A795" s="29"/>
      <c r="B795" s="147"/>
      <c r="C795" s="155"/>
      <c r="D795" s="149"/>
      <c r="E795" s="149"/>
      <c r="F795" s="149"/>
      <c r="G795" s="149"/>
      <c r="H795" s="141"/>
      <c r="I795" s="143"/>
      <c r="J795" s="143"/>
      <c r="K795" s="143"/>
      <c r="L795" s="143"/>
      <c r="M795" s="143"/>
      <c r="N795" s="143"/>
      <c r="O795" s="143"/>
      <c r="P795" s="143"/>
      <c r="Q795" s="143"/>
      <c r="R795" s="143"/>
      <c r="S795" s="143"/>
      <c r="T795" s="143"/>
      <c r="U795" s="143"/>
      <c r="V795" s="143"/>
      <c r="W795" s="143"/>
      <c r="X795" s="143"/>
      <c r="Y795" s="143"/>
      <c r="Z795" s="152"/>
      <c r="AA795" s="143"/>
      <c r="AB795" s="154"/>
      <c r="AC795" s="152"/>
      <c r="AD795" s="152"/>
      <c r="AE795" s="154"/>
      <c r="AF795" s="154"/>
      <c r="AG795" s="154"/>
      <c r="AH795" s="154"/>
      <c r="AI795" s="154"/>
      <c r="AJ795" s="154"/>
      <c r="AK795" s="154"/>
      <c r="AL795" s="154"/>
      <c r="AM795" s="154"/>
      <c r="AN795" s="154"/>
      <c r="AO795" s="154"/>
      <c r="AP795" s="152"/>
      <c r="AQ795" s="154"/>
      <c r="AR795" s="154"/>
      <c r="AS795" s="154"/>
    </row>
    <row r="796" customFormat="false" ht="14.25" hidden="false" customHeight="false" outlineLevel="0" collapsed="false">
      <c r="A796" s="29"/>
      <c r="B796" s="147"/>
      <c r="C796" s="156"/>
      <c r="D796" s="149"/>
      <c r="E796" s="149"/>
      <c r="F796" s="149"/>
      <c r="G796" s="149"/>
      <c r="H796" s="141"/>
      <c r="I796" s="143"/>
      <c r="J796" s="143"/>
      <c r="K796" s="143"/>
      <c r="L796" s="143"/>
      <c r="M796" s="143"/>
      <c r="N796" s="143"/>
      <c r="O796" s="143"/>
      <c r="P796" s="143"/>
      <c r="Q796" s="143"/>
      <c r="R796" s="143"/>
      <c r="S796" s="143"/>
      <c r="T796" s="143"/>
      <c r="U796" s="143"/>
      <c r="V796" s="143"/>
      <c r="W796" s="143"/>
      <c r="X796" s="143"/>
      <c r="Y796" s="143"/>
      <c r="Z796" s="152"/>
      <c r="AA796" s="143"/>
      <c r="AB796" s="154"/>
      <c r="AC796" s="152"/>
      <c r="AD796" s="152"/>
      <c r="AE796" s="154"/>
      <c r="AF796" s="154"/>
      <c r="AG796" s="154"/>
      <c r="AH796" s="154"/>
      <c r="AI796" s="154"/>
      <c r="AJ796" s="154"/>
      <c r="AK796" s="154"/>
      <c r="AL796" s="154"/>
      <c r="AM796" s="154"/>
      <c r="AN796" s="154"/>
      <c r="AO796" s="154"/>
      <c r="AP796" s="152"/>
      <c r="AQ796" s="154"/>
      <c r="AR796" s="154"/>
      <c r="AS796" s="154"/>
    </row>
    <row r="797" customFormat="false" ht="14.25" hidden="false" customHeight="false" outlineLevel="0" collapsed="false">
      <c r="A797" s="29"/>
      <c r="B797" s="147"/>
      <c r="C797" s="148"/>
      <c r="D797" s="149"/>
      <c r="E797" s="149"/>
      <c r="F797" s="149"/>
      <c r="G797" s="149"/>
      <c r="H797" s="141"/>
      <c r="I797" s="143"/>
      <c r="J797" s="143"/>
      <c r="K797" s="143"/>
      <c r="L797" s="143"/>
      <c r="M797" s="143"/>
      <c r="N797" s="143"/>
      <c r="O797" s="143"/>
      <c r="P797" s="143"/>
      <c r="Q797" s="143"/>
      <c r="R797" s="143"/>
      <c r="S797" s="143"/>
      <c r="T797" s="143"/>
      <c r="U797" s="143"/>
      <c r="V797" s="143"/>
      <c r="W797" s="143"/>
      <c r="X797" s="143"/>
      <c r="Y797" s="143"/>
      <c r="Z797" s="152"/>
      <c r="AA797" s="143"/>
      <c r="AB797" s="154"/>
      <c r="AC797" s="152"/>
      <c r="AD797" s="152"/>
      <c r="AE797" s="154"/>
      <c r="AF797" s="154"/>
      <c r="AG797" s="154"/>
      <c r="AH797" s="154"/>
      <c r="AI797" s="154"/>
      <c r="AJ797" s="154"/>
      <c r="AK797" s="154"/>
      <c r="AL797" s="154"/>
      <c r="AM797" s="154"/>
      <c r="AN797" s="154"/>
      <c r="AO797" s="154"/>
      <c r="AP797" s="152"/>
      <c r="AQ797" s="154"/>
      <c r="AR797" s="154"/>
      <c r="AS797" s="154"/>
    </row>
    <row r="798" customFormat="false" ht="14.25" hidden="false" customHeight="false" outlineLevel="0" collapsed="false">
      <c r="A798" s="29"/>
      <c r="B798" s="147"/>
      <c r="C798" s="155"/>
      <c r="D798" s="149"/>
      <c r="E798" s="149"/>
      <c r="F798" s="149"/>
      <c r="G798" s="149"/>
      <c r="H798" s="141"/>
      <c r="I798" s="143"/>
      <c r="J798" s="143"/>
      <c r="K798" s="143"/>
      <c r="L798" s="143"/>
      <c r="M798" s="143"/>
      <c r="N798" s="143"/>
      <c r="O798" s="143"/>
      <c r="P798" s="143"/>
      <c r="Q798" s="143"/>
      <c r="R798" s="143"/>
      <c r="S798" s="143"/>
      <c r="T798" s="143"/>
      <c r="U798" s="143"/>
      <c r="V798" s="143"/>
      <c r="W798" s="143"/>
      <c r="X798" s="143"/>
      <c r="Y798" s="143"/>
      <c r="Z798" s="152"/>
      <c r="AA798" s="143"/>
      <c r="AB798" s="154"/>
      <c r="AC798" s="152"/>
      <c r="AD798" s="152"/>
      <c r="AE798" s="154"/>
      <c r="AF798" s="154"/>
      <c r="AG798" s="154"/>
      <c r="AH798" s="154"/>
      <c r="AI798" s="154"/>
      <c r="AJ798" s="154"/>
      <c r="AK798" s="154"/>
      <c r="AL798" s="154"/>
      <c r="AM798" s="154"/>
      <c r="AN798" s="154"/>
      <c r="AO798" s="154"/>
      <c r="AP798" s="152"/>
      <c r="AQ798" s="154"/>
      <c r="AR798" s="154"/>
      <c r="AS798" s="154"/>
    </row>
    <row r="799" customFormat="false" ht="14.25" hidden="false" customHeight="false" outlineLevel="0" collapsed="false">
      <c r="A799" s="29"/>
      <c r="B799" s="147"/>
      <c r="C799" s="156"/>
      <c r="D799" s="149"/>
      <c r="E799" s="149"/>
      <c r="F799" s="149"/>
      <c r="G799" s="149"/>
      <c r="H799" s="141"/>
      <c r="I799" s="143"/>
      <c r="J799" s="143"/>
      <c r="K799" s="143"/>
      <c r="L799" s="143"/>
      <c r="M799" s="143"/>
      <c r="N799" s="143"/>
      <c r="O799" s="143"/>
      <c r="P799" s="143"/>
      <c r="Q799" s="143"/>
      <c r="R799" s="143"/>
      <c r="S799" s="143"/>
      <c r="T799" s="143"/>
      <c r="U799" s="143"/>
      <c r="V799" s="143"/>
      <c r="W799" s="143"/>
      <c r="X799" s="143"/>
      <c r="Y799" s="143"/>
      <c r="Z799" s="152"/>
      <c r="AA799" s="143"/>
      <c r="AB799" s="154"/>
      <c r="AC799" s="152"/>
      <c r="AD799" s="152"/>
      <c r="AE799" s="154"/>
      <c r="AF799" s="154"/>
      <c r="AG799" s="154"/>
      <c r="AH799" s="154"/>
      <c r="AI799" s="154"/>
      <c r="AJ799" s="154"/>
      <c r="AK799" s="154"/>
      <c r="AL799" s="154"/>
      <c r="AM799" s="154"/>
      <c r="AN799" s="154"/>
      <c r="AO799" s="154"/>
      <c r="AP799" s="152"/>
      <c r="AQ799" s="154"/>
      <c r="AR799" s="154"/>
      <c r="AS799" s="154"/>
    </row>
    <row r="800" customFormat="false" ht="14.25" hidden="false" customHeight="false" outlineLevel="0" collapsed="false">
      <c r="A800" s="29"/>
      <c r="B800" s="147"/>
      <c r="C800" s="148"/>
      <c r="D800" s="149"/>
      <c r="E800" s="149"/>
      <c r="F800" s="149"/>
      <c r="G800" s="149"/>
      <c r="H800" s="141"/>
      <c r="I800" s="143"/>
      <c r="J800" s="143"/>
      <c r="K800" s="143"/>
      <c r="L800" s="143"/>
      <c r="M800" s="143"/>
      <c r="N800" s="143"/>
      <c r="O800" s="143"/>
      <c r="P800" s="143"/>
      <c r="Q800" s="143"/>
      <c r="R800" s="143"/>
      <c r="S800" s="143"/>
      <c r="T800" s="143"/>
      <c r="U800" s="143"/>
      <c r="V800" s="143"/>
      <c r="W800" s="143"/>
      <c r="X800" s="143"/>
      <c r="Y800" s="143"/>
      <c r="Z800" s="152"/>
      <c r="AA800" s="143"/>
      <c r="AB800" s="154"/>
      <c r="AC800" s="152"/>
      <c r="AD800" s="152"/>
      <c r="AE800" s="154"/>
      <c r="AF800" s="154"/>
      <c r="AG800" s="154"/>
      <c r="AH800" s="154"/>
      <c r="AI800" s="154"/>
      <c r="AJ800" s="154"/>
      <c r="AK800" s="154"/>
      <c r="AL800" s="154"/>
      <c r="AM800" s="154"/>
      <c r="AN800" s="154"/>
      <c r="AO800" s="154"/>
      <c r="AP800" s="152"/>
      <c r="AQ800" s="154"/>
      <c r="AR800" s="154"/>
      <c r="AS800" s="154"/>
    </row>
    <row r="801" customFormat="false" ht="14.25" hidden="false" customHeight="false" outlineLevel="0" collapsed="false">
      <c r="A801" s="29"/>
      <c r="B801" s="147"/>
      <c r="C801" s="155"/>
      <c r="D801" s="149"/>
      <c r="E801" s="149"/>
      <c r="F801" s="149"/>
      <c r="G801" s="149"/>
      <c r="H801" s="141"/>
      <c r="I801" s="143"/>
      <c r="J801" s="143"/>
      <c r="K801" s="143"/>
      <c r="L801" s="143"/>
      <c r="M801" s="143"/>
      <c r="N801" s="143"/>
      <c r="O801" s="143"/>
      <c r="P801" s="143"/>
      <c r="Q801" s="143"/>
      <c r="R801" s="143"/>
      <c r="S801" s="143"/>
      <c r="T801" s="143"/>
      <c r="U801" s="143"/>
      <c r="V801" s="143"/>
      <c r="W801" s="143"/>
      <c r="X801" s="143"/>
      <c r="Y801" s="143"/>
      <c r="Z801" s="152"/>
      <c r="AA801" s="143"/>
      <c r="AB801" s="154"/>
      <c r="AC801" s="152"/>
      <c r="AD801" s="152"/>
      <c r="AE801" s="154"/>
      <c r="AF801" s="154"/>
      <c r="AG801" s="154"/>
      <c r="AH801" s="154"/>
      <c r="AI801" s="154"/>
      <c r="AJ801" s="154"/>
      <c r="AK801" s="154"/>
      <c r="AL801" s="154"/>
      <c r="AM801" s="154"/>
      <c r="AN801" s="154"/>
      <c r="AO801" s="154"/>
      <c r="AP801" s="152"/>
      <c r="AQ801" s="154"/>
      <c r="AR801" s="154"/>
      <c r="AS801" s="154"/>
    </row>
    <row r="802" customFormat="false" ht="14.25" hidden="false" customHeight="false" outlineLevel="0" collapsed="false">
      <c r="A802" s="29"/>
      <c r="B802" s="147"/>
      <c r="C802" s="156"/>
      <c r="D802" s="149"/>
      <c r="E802" s="149"/>
      <c r="F802" s="149"/>
      <c r="G802" s="149"/>
      <c r="H802" s="141"/>
      <c r="I802" s="143"/>
      <c r="J802" s="143"/>
      <c r="K802" s="143"/>
      <c r="L802" s="143"/>
      <c r="M802" s="143"/>
      <c r="N802" s="143"/>
      <c r="O802" s="143"/>
      <c r="P802" s="143"/>
      <c r="Q802" s="143"/>
      <c r="R802" s="143"/>
      <c r="S802" s="143"/>
      <c r="T802" s="143"/>
      <c r="U802" s="143"/>
      <c r="V802" s="143"/>
      <c r="W802" s="143"/>
      <c r="X802" s="143"/>
      <c r="Y802" s="143"/>
      <c r="Z802" s="152"/>
      <c r="AA802" s="143"/>
      <c r="AB802" s="154"/>
      <c r="AC802" s="152"/>
      <c r="AD802" s="152"/>
      <c r="AE802" s="154"/>
      <c r="AF802" s="154"/>
      <c r="AG802" s="154"/>
      <c r="AH802" s="154"/>
      <c r="AI802" s="154"/>
      <c r="AJ802" s="154"/>
      <c r="AK802" s="154"/>
      <c r="AL802" s="154"/>
      <c r="AM802" s="154"/>
      <c r="AN802" s="154"/>
      <c r="AO802" s="154"/>
      <c r="AP802" s="152"/>
      <c r="AQ802" s="154"/>
      <c r="AR802" s="154"/>
      <c r="AS802" s="154"/>
    </row>
    <row r="803" customFormat="false" ht="14.25" hidden="false" customHeight="false" outlineLevel="0" collapsed="false">
      <c r="A803" s="29"/>
      <c r="B803" s="147"/>
      <c r="C803" s="148"/>
      <c r="D803" s="149"/>
      <c r="E803" s="149"/>
      <c r="F803" s="149"/>
      <c r="G803" s="149"/>
      <c r="H803" s="141"/>
      <c r="I803" s="143"/>
      <c r="J803" s="143"/>
      <c r="K803" s="143"/>
      <c r="L803" s="143"/>
      <c r="M803" s="143"/>
      <c r="N803" s="143"/>
      <c r="O803" s="143"/>
      <c r="P803" s="143"/>
      <c r="Q803" s="164"/>
      <c r="R803" s="143"/>
      <c r="S803" s="143"/>
      <c r="T803" s="143"/>
      <c r="U803" s="143"/>
      <c r="V803" s="143"/>
      <c r="W803" s="143"/>
      <c r="X803" s="143"/>
      <c r="Y803" s="143"/>
      <c r="Z803" s="152"/>
      <c r="AA803" s="143"/>
      <c r="AB803" s="154"/>
      <c r="AC803" s="152"/>
      <c r="AD803" s="152"/>
      <c r="AE803" s="154"/>
      <c r="AF803" s="154"/>
      <c r="AG803" s="154"/>
      <c r="AH803" s="154"/>
      <c r="AI803" s="154"/>
      <c r="AJ803" s="154"/>
      <c r="AK803" s="154"/>
      <c r="AL803" s="154"/>
      <c r="AM803" s="154"/>
      <c r="AN803" s="154"/>
      <c r="AO803" s="154"/>
      <c r="AP803" s="152"/>
      <c r="AQ803" s="154"/>
      <c r="AR803" s="154"/>
      <c r="AS803" s="154"/>
    </row>
    <row r="804" customFormat="false" ht="14.25" hidden="false" customHeight="false" outlineLevel="0" collapsed="false">
      <c r="A804" s="29"/>
      <c r="B804" s="147"/>
      <c r="C804" s="155"/>
      <c r="D804" s="149"/>
      <c r="E804" s="149"/>
      <c r="F804" s="149"/>
      <c r="G804" s="149"/>
      <c r="H804" s="141"/>
      <c r="I804" s="143"/>
      <c r="J804" s="143"/>
      <c r="K804" s="143"/>
      <c r="L804" s="143"/>
      <c r="M804" s="143"/>
      <c r="N804" s="143"/>
      <c r="O804" s="143"/>
      <c r="P804" s="143"/>
      <c r="Q804" s="143"/>
      <c r="R804" s="143"/>
      <c r="S804" s="143"/>
      <c r="T804" s="143"/>
      <c r="U804" s="143"/>
      <c r="V804" s="143"/>
      <c r="W804" s="143"/>
      <c r="X804" s="143"/>
      <c r="Y804" s="143"/>
      <c r="Z804" s="152"/>
      <c r="AA804" s="143"/>
      <c r="AB804" s="154"/>
      <c r="AC804" s="152"/>
      <c r="AD804" s="152"/>
      <c r="AE804" s="154"/>
      <c r="AF804" s="154"/>
      <c r="AG804" s="154"/>
      <c r="AH804" s="154"/>
      <c r="AI804" s="154"/>
      <c r="AJ804" s="154"/>
      <c r="AK804" s="154"/>
      <c r="AL804" s="154"/>
      <c r="AM804" s="154"/>
      <c r="AN804" s="154"/>
      <c r="AO804" s="154"/>
      <c r="AP804" s="152"/>
      <c r="AQ804" s="154"/>
      <c r="AR804" s="154"/>
      <c r="AS804" s="154"/>
    </row>
    <row r="805" customFormat="false" ht="14.25" hidden="false" customHeight="false" outlineLevel="0" collapsed="false">
      <c r="A805" s="29"/>
      <c r="B805" s="147"/>
      <c r="C805" s="156"/>
      <c r="D805" s="149"/>
      <c r="E805" s="149"/>
      <c r="F805" s="149"/>
      <c r="G805" s="149"/>
      <c r="H805" s="141"/>
      <c r="I805" s="143"/>
      <c r="J805" s="143"/>
      <c r="K805" s="143"/>
      <c r="L805" s="143"/>
      <c r="M805" s="143"/>
      <c r="N805" s="143"/>
      <c r="O805" s="143"/>
      <c r="P805" s="143"/>
      <c r="Q805" s="143"/>
      <c r="R805" s="143"/>
      <c r="S805" s="143"/>
      <c r="T805" s="143"/>
      <c r="U805" s="143"/>
      <c r="V805" s="143"/>
      <c r="W805" s="143"/>
      <c r="X805" s="143"/>
      <c r="Y805" s="143"/>
      <c r="Z805" s="152"/>
      <c r="AA805" s="143"/>
      <c r="AB805" s="154"/>
      <c r="AC805" s="152"/>
      <c r="AD805" s="152"/>
      <c r="AE805" s="154"/>
      <c r="AF805" s="154"/>
      <c r="AG805" s="154"/>
      <c r="AH805" s="154"/>
      <c r="AI805" s="154"/>
      <c r="AJ805" s="154"/>
      <c r="AK805" s="154"/>
      <c r="AL805" s="154"/>
      <c r="AM805" s="154"/>
      <c r="AN805" s="154"/>
      <c r="AO805" s="154"/>
      <c r="AP805" s="152"/>
      <c r="AQ805" s="154"/>
      <c r="AR805" s="154"/>
      <c r="AS805" s="154"/>
    </row>
    <row r="806" customFormat="false" ht="14.25" hidden="false" customHeight="false" outlineLevel="0" collapsed="false">
      <c r="A806" s="29"/>
      <c r="B806" s="147"/>
      <c r="C806" s="148"/>
      <c r="D806" s="149"/>
      <c r="E806" s="149"/>
      <c r="F806" s="149"/>
      <c r="G806" s="149"/>
      <c r="H806" s="141"/>
      <c r="I806" s="143"/>
      <c r="J806" s="143"/>
      <c r="K806" s="143"/>
      <c r="L806" s="143"/>
      <c r="M806" s="143"/>
      <c r="N806" s="143"/>
      <c r="O806" s="143"/>
      <c r="P806" s="143"/>
      <c r="Q806" s="143"/>
      <c r="R806" s="143"/>
      <c r="S806" s="143"/>
      <c r="T806" s="143"/>
      <c r="U806" s="143"/>
      <c r="V806" s="143"/>
      <c r="W806" s="143"/>
      <c r="X806" s="143"/>
      <c r="Y806" s="143"/>
      <c r="Z806" s="152"/>
      <c r="AA806" s="143"/>
      <c r="AB806" s="154"/>
      <c r="AC806" s="152"/>
      <c r="AD806" s="152"/>
      <c r="AE806" s="154"/>
      <c r="AF806" s="154"/>
      <c r="AG806" s="154"/>
      <c r="AH806" s="154"/>
      <c r="AI806" s="154"/>
      <c r="AJ806" s="154"/>
      <c r="AK806" s="154"/>
      <c r="AL806" s="154"/>
      <c r="AM806" s="154"/>
      <c r="AN806" s="154"/>
      <c r="AO806" s="154"/>
      <c r="AP806" s="152"/>
      <c r="AQ806" s="154"/>
      <c r="AR806" s="154"/>
      <c r="AS806" s="154"/>
    </row>
    <row r="807" customFormat="false" ht="14.25" hidden="false" customHeight="false" outlineLevel="0" collapsed="false">
      <c r="A807" s="29"/>
      <c r="B807" s="147"/>
      <c r="C807" s="155"/>
      <c r="D807" s="149"/>
      <c r="E807" s="149"/>
      <c r="F807" s="149"/>
      <c r="G807" s="149"/>
      <c r="H807" s="141"/>
      <c r="I807" s="143"/>
      <c r="J807" s="143"/>
      <c r="K807" s="143"/>
      <c r="L807" s="143"/>
      <c r="M807" s="143"/>
      <c r="N807" s="143"/>
      <c r="O807" s="143"/>
      <c r="P807" s="143"/>
      <c r="Q807" s="143"/>
      <c r="R807" s="143"/>
      <c r="S807" s="143"/>
      <c r="T807" s="143"/>
      <c r="U807" s="143"/>
      <c r="V807" s="143"/>
      <c r="W807" s="143"/>
      <c r="X807" s="143"/>
      <c r="Y807" s="143"/>
      <c r="Z807" s="152"/>
      <c r="AA807" s="143"/>
      <c r="AB807" s="154"/>
      <c r="AC807" s="152"/>
      <c r="AD807" s="152"/>
      <c r="AE807" s="154"/>
      <c r="AF807" s="154"/>
      <c r="AG807" s="154"/>
      <c r="AH807" s="154"/>
      <c r="AI807" s="154"/>
      <c r="AJ807" s="154"/>
      <c r="AK807" s="154"/>
      <c r="AL807" s="154"/>
      <c r="AM807" s="154"/>
      <c r="AN807" s="154"/>
      <c r="AO807" s="154"/>
      <c r="AP807" s="152"/>
      <c r="AQ807" s="154"/>
      <c r="AR807" s="154"/>
      <c r="AS807" s="154"/>
    </row>
    <row r="808" customFormat="false" ht="14.25" hidden="false" customHeight="false" outlineLevel="0" collapsed="false">
      <c r="A808" s="29"/>
      <c r="B808" s="147"/>
      <c r="C808" s="156"/>
      <c r="D808" s="149"/>
      <c r="E808" s="149"/>
      <c r="F808" s="149"/>
      <c r="G808" s="149"/>
      <c r="H808" s="141"/>
      <c r="I808" s="143"/>
      <c r="J808" s="143"/>
      <c r="K808" s="143"/>
      <c r="L808" s="143"/>
      <c r="M808" s="143"/>
      <c r="N808" s="143"/>
      <c r="O808" s="143"/>
      <c r="P808" s="143"/>
      <c r="Q808" s="143"/>
      <c r="R808" s="143"/>
      <c r="S808" s="143"/>
      <c r="T808" s="143"/>
      <c r="U808" s="143"/>
      <c r="V808" s="143"/>
      <c r="W808" s="143"/>
      <c r="X808" s="143"/>
      <c r="Y808" s="143"/>
      <c r="Z808" s="152"/>
      <c r="AA808" s="143"/>
      <c r="AB808" s="154"/>
      <c r="AC808" s="152"/>
      <c r="AD808" s="152"/>
      <c r="AE808" s="154"/>
      <c r="AF808" s="154"/>
      <c r="AG808" s="154"/>
      <c r="AH808" s="154"/>
      <c r="AI808" s="154"/>
      <c r="AJ808" s="154"/>
      <c r="AK808" s="154"/>
      <c r="AL808" s="154"/>
      <c r="AM808" s="154"/>
      <c r="AN808" s="154"/>
      <c r="AO808" s="154"/>
      <c r="AP808" s="152"/>
      <c r="AQ808" s="154"/>
      <c r="AR808" s="154"/>
      <c r="AS808" s="154"/>
    </row>
    <row r="809" customFormat="false" ht="14.25" hidden="false" customHeight="false" outlineLevel="0" collapsed="false">
      <c r="A809" s="29"/>
      <c r="B809" s="147"/>
      <c r="C809" s="148"/>
      <c r="D809" s="149"/>
      <c r="E809" s="149"/>
      <c r="F809" s="149"/>
      <c r="G809" s="149"/>
      <c r="H809" s="141"/>
      <c r="I809" s="143"/>
      <c r="J809" s="143"/>
      <c r="K809" s="143"/>
      <c r="L809" s="143"/>
      <c r="M809" s="143"/>
      <c r="N809" s="143"/>
      <c r="O809" s="143"/>
      <c r="P809" s="143"/>
      <c r="Q809" s="143"/>
      <c r="R809" s="143"/>
      <c r="S809" s="143"/>
      <c r="T809" s="143"/>
      <c r="U809" s="143"/>
      <c r="V809" s="143"/>
      <c r="W809" s="143"/>
      <c r="X809" s="143"/>
      <c r="Y809" s="143"/>
      <c r="Z809" s="152"/>
      <c r="AA809" s="143"/>
      <c r="AB809" s="154"/>
      <c r="AC809" s="152"/>
      <c r="AD809" s="152"/>
      <c r="AE809" s="154"/>
      <c r="AF809" s="154"/>
      <c r="AG809" s="154"/>
      <c r="AH809" s="154"/>
      <c r="AI809" s="154"/>
      <c r="AJ809" s="165"/>
      <c r="AK809" s="165"/>
      <c r="AL809" s="154"/>
      <c r="AM809" s="154"/>
      <c r="AN809" s="154"/>
      <c r="AO809" s="154"/>
      <c r="AP809" s="152"/>
      <c r="AQ809" s="154"/>
      <c r="AR809" s="154"/>
      <c r="AS809" s="154"/>
    </row>
    <row r="810" customFormat="false" ht="14.25" hidden="false" customHeight="false" outlineLevel="0" collapsed="false">
      <c r="A810" s="29"/>
      <c r="B810" s="147"/>
      <c r="C810" s="155"/>
      <c r="D810" s="149"/>
      <c r="E810" s="149"/>
      <c r="F810" s="149"/>
      <c r="G810" s="149"/>
      <c r="H810" s="141"/>
      <c r="I810" s="143"/>
      <c r="J810" s="143"/>
      <c r="K810" s="143"/>
      <c r="L810" s="143"/>
      <c r="M810" s="143"/>
      <c r="N810" s="143"/>
      <c r="O810" s="143"/>
      <c r="P810" s="143"/>
      <c r="Q810" s="143"/>
      <c r="R810" s="143"/>
      <c r="S810" s="143"/>
      <c r="T810" s="143"/>
      <c r="U810" s="143"/>
      <c r="V810" s="143"/>
      <c r="W810" s="143"/>
      <c r="X810" s="143"/>
      <c r="Y810" s="143"/>
      <c r="Z810" s="152"/>
      <c r="AA810" s="143"/>
      <c r="AB810" s="154"/>
      <c r="AC810" s="152"/>
      <c r="AD810" s="152"/>
      <c r="AE810" s="154"/>
      <c r="AF810" s="154"/>
      <c r="AG810" s="154"/>
      <c r="AH810" s="154"/>
      <c r="AI810" s="154"/>
      <c r="AJ810" s="154"/>
      <c r="AK810" s="154"/>
      <c r="AL810" s="154"/>
      <c r="AM810" s="154"/>
      <c r="AN810" s="154"/>
      <c r="AO810" s="154"/>
      <c r="AP810" s="152"/>
      <c r="AQ810" s="154"/>
      <c r="AR810" s="154"/>
      <c r="AS810" s="154"/>
    </row>
    <row r="811" customFormat="false" ht="14.25" hidden="false" customHeight="false" outlineLevel="0" collapsed="false">
      <c r="A811" s="29"/>
      <c r="B811" s="147"/>
      <c r="C811" s="156"/>
      <c r="D811" s="149"/>
      <c r="E811" s="149"/>
      <c r="F811" s="149"/>
      <c r="G811" s="149"/>
      <c r="H811" s="141"/>
      <c r="I811" s="143"/>
      <c r="J811" s="143"/>
      <c r="K811" s="143"/>
      <c r="L811" s="143"/>
      <c r="M811" s="143"/>
      <c r="N811" s="143"/>
      <c r="O811" s="143"/>
      <c r="P811" s="143"/>
      <c r="Q811" s="143"/>
      <c r="R811" s="143"/>
      <c r="S811" s="143"/>
      <c r="T811" s="143"/>
      <c r="U811" s="143"/>
      <c r="V811" s="143"/>
      <c r="W811" s="143"/>
      <c r="X811" s="143"/>
      <c r="Y811" s="143"/>
      <c r="Z811" s="152"/>
      <c r="AA811" s="143"/>
      <c r="AB811" s="154"/>
      <c r="AC811" s="152"/>
      <c r="AD811" s="152"/>
      <c r="AE811" s="154"/>
      <c r="AF811" s="154"/>
      <c r="AG811" s="154"/>
      <c r="AH811" s="154"/>
      <c r="AI811" s="154"/>
      <c r="AJ811" s="154"/>
      <c r="AK811" s="154"/>
      <c r="AL811" s="154"/>
      <c r="AM811" s="154"/>
      <c r="AN811" s="154"/>
      <c r="AO811" s="154"/>
      <c r="AP811" s="152"/>
      <c r="AQ811" s="154"/>
      <c r="AR811" s="154"/>
      <c r="AS811" s="154"/>
    </row>
    <row r="812" customFormat="false" ht="14.25" hidden="false" customHeight="false" outlineLevel="0" collapsed="false">
      <c r="A812" s="29"/>
      <c r="B812" s="147"/>
      <c r="C812" s="148"/>
      <c r="D812" s="149"/>
      <c r="E812" s="149"/>
      <c r="F812" s="149"/>
      <c r="G812" s="149"/>
      <c r="H812" s="141"/>
      <c r="I812" s="143"/>
      <c r="J812" s="143"/>
      <c r="K812" s="143"/>
      <c r="L812" s="143"/>
      <c r="M812" s="143"/>
      <c r="N812" s="143"/>
      <c r="O812" s="143"/>
      <c r="P812" s="143"/>
      <c r="Q812" s="143"/>
      <c r="R812" s="143"/>
      <c r="S812" s="143"/>
      <c r="T812" s="143"/>
      <c r="U812" s="143"/>
      <c r="V812" s="143"/>
      <c r="W812" s="143"/>
      <c r="X812" s="143"/>
      <c r="Y812" s="143"/>
      <c r="Z812" s="152"/>
      <c r="AA812" s="143"/>
      <c r="AB812" s="154"/>
      <c r="AC812" s="152"/>
      <c r="AD812" s="152"/>
      <c r="AE812" s="154"/>
      <c r="AF812" s="154"/>
      <c r="AG812" s="154"/>
      <c r="AH812" s="154"/>
      <c r="AI812" s="154"/>
      <c r="AJ812" s="154"/>
      <c r="AK812" s="154"/>
      <c r="AL812" s="154"/>
      <c r="AM812" s="154"/>
      <c r="AN812" s="154"/>
      <c r="AO812" s="154"/>
      <c r="AP812" s="152"/>
      <c r="AQ812" s="154"/>
      <c r="AR812" s="154"/>
      <c r="AS812" s="154"/>
    </row>
    <row r="813" customFormat="false" ht="14.25" hidden="false" customHeight="false" outlineLevel="0" collapsed="false">
      <c r="A813" s="29"/>
      <c r="B813" s="147"/>
      <c r="C813" s="155"/>
      <c r="D813" s="149"/>
      <c r="E813" s="149"/>
      <c r="F813" s="149"/>
      <c r="G813" s="149"/>
      <c r="H813" s="141"/>
      <c r="I813" s="143"/>
      <c r="J813" s="143"/>
      <c r="K813" s="143"/>
      <c r="L813" s="143"/>
      <c r="M813" s="143"/>
      <c r="N813" s="143"/>
      <c r="O813" s="143"/>
      <c r="P813" s="143"/>
      <c r="Q813" s="143"/>
      <c r="R813" s="143"/>
      <c r="S813" s="143"/>
      <c r="T813" s="143"/>
      <c r="U813" s="143"/>
      <c r="V813" s="143"/>
      <c r="W813" s="143"/>
      <c r="X813" s="143"/>
      <c r="Y813" s="143"/>
      <c r="Z813" s="152"/>
      <c r="AA813" s="143"/>
      <c r="AB813" s="154"/>
      <c r="AC813" s="152"/>
      <c r="AD813" s="152"/>
      <c r="AE813" s="154"/>
      <c r="AF813" s="154"/>
      <c r="AG813" s="154"/>
      <c r="AH813" s="154"/>
      <c r="AI813" s="154"/>
      <c r="AJ813" s="154"/>
      <c r="AK813" s="154"/>
      <c r="AL813" s="154"/>
      <c r="AM813" s="154"/>
      <c r="AN813" s="154"/>
      <c r="AO813" s="154"/>
      <c r="AP813" s="152"/>
      <c r="AQ813" s="154"/>
      <c r="AR813" s="154"/>
      <c r="AS813" s="154"/>
    </row>
    <row r="814" customFormat="false" ht="14.25" hidden="false" customHeight="false" outlineLevel="0" collapsed="false">
      <c r="A814" s="29"/>
      <c r="B814" s="147"/>
      <c r="C814" s="156"/>
      <c r="D814" s="149"/>
      <c r="E814" s="149"/>
      <c r="F814" s="149"/>
      <c r="G814" s="149"/>
      <c r="H814" s="141"/>
      <c r="I814" s="143"/>
      <c r="J814" s="143"/>
      <c r="K814" s="143"/>
      <c r="L814" s="143"/>
      <c r="M814" s="143"/>
      <c r="N814" s="143"/>
      <c r="O814" s="143"/>
      <c r="P814" s="143"/>
      <c r="Q814" s="143"/>
      <c r="R814" s="143"/>
      <c r="S814" s="143"/>
      <c r="T814" s="143"/>
      <c r="U814" s="143"/>
      <c r="V814" s="143"/>
      <c r="W814" s="143"/>
      <c r="X814" s="143"/>
      <c r="Y814" s="143"/>
      <c r="Z814" s="152"/>
      <c r="AA814" s="143"/>
      <c r="AB814" s="154"/>
      <c r="AC814" s="152"/>
      <c r="AD814" s="152"/>
      <c r="AE814" s="154"/>
      <c r="AF814" s="154"/>
      <c r="AG814" s="154"/>
      <c r="AH814" s="154"/>
      <c r="AI814" s="154"/>
      <c r="AJ814" s="154"/>
      <c r="AK814" s="154"/>
      <c r="AL814" s="154"/>
      <c r="AM814" s="154"/>
      <c r="AN814" s="154"/>
      <c r="AO814" s="154"/>
      <c r="AP814" s="152"/>
      <c r="AQ814" s="154"/>
      <c r="AR814" s="154"/>
      <c r="AS814" s="154"/>
    </row>
    <row r="815" customFormat="false" ht="14.25" hidden="false" customHeight="false" outlineLevel="0" collapsed="false">
      <c r="A815" s="29"/>
      <c r="B815" s="147"/>
      <c r="C815" s="148"/>
      <c r="D815" s="149"/>
      <c r="E815" s="149"/>
      <c r="F815" s="149"/>
      <c r="G815" s="149"/>
      <c r="H815" s="141"/>
      <c r="I815" s="143"/>
      <c r="J815" s="143"/>
      <c r="K815" s="143"/>
      <c r="L815" s="143"/>
      <c r="M815" s="143"/>
      <c r="N815" s="143"/>
      <c r="O815" s="143"/>
      <c r="P815" s="143"/>
      <c r="Q815" s="143"/>
      <c r="R815" s="143"/>
      <c r="S815" s="143"/>
      <c r="T815" s="143"/>
      <c r="U815" s="143"/>
      <c r="V815" s="143"/>
      <c r="W815" s="143"/>
      <c r="X815" s="143"/>
      <c r="Y815" s="143"/>
      <c r="Z815" s="152"/>
      <c r="AA815" s="143"/>
      <c r="AB815" s="154"/>
      <c r="AC815" s="152"/>
      <c r="AD815" s="152"/>
      <c r="AE815" s="154"/>
      <c r="AF815" s="154"/>
      <c r="AG815" s="154"/>
      <c r="AH815" s="154"/>
      <c r="AI815" s="154"/>
      <c r="AJ815" s="154"/>
      <c r="AK815" s="154"/>
      <c r="AL815" s="154"/>
      <c r="AM815" s="154"/>
      <c r="AN815" s="154"/>
      <c r="AO815" s="154"/>
      <c r="AP815" s="152"/>
      <c r="AQ815" s="154"/>
      <c r="AR815" s="154"/>
      <c r="AS815" s="154"/>
    </row>
    <row r="816" customFormat="false" ht="14.25" hidden="false" customHeight="false" outlineLevel="0" collapsed="false">
      <c r="A816" s="29"/>
      <c r="B816" s="147"/>
      <c r="C816" s="155"/>
      <c r="D816" s="149"/>
      <c r="E816" s="149"/>
      <c r="F816" s="149"/>
      <c r="G816" s="149"/>
      <c r="H816" s="141"/>
      <c r="I816" s="143"/>
      <c r="J816" s="143"/>
      <c r="K816" s="143"/>
      <c r="L816" s="143"/>
      <c r="M816" s="143"/>
      <c r="N816" s="143"/>
      <c r="O816" s="143"/>
      <c r="P816" s="143"/>
      <c r="Q816" s="143"/>
      <c r="R816" s="143"/>
      <c r="S816" s="143"/>
      <c r="T816" s="143"/>
      <c r="U816" s="143"/>
      <c r="V816" s="143"/>
      <c r="W816" s="143"/>
      <c r="X816" s="143"/>
      <c r="Y816" s="143"/>
      <c r="Z816" s="152"/>
      <c r="AA816" s="143"/>
      <c r="AB816" s="154"/>
      <c r="AC816" s="152"/>
      <c r="AD816" s="152"/>
      <c r="AE816" s="154"/>
      <c r="AF816" s="154"/>
      <c r="AG816" s="154"/>
      <c r="AH816" s="154"/>
      <c r="AI816" s="154"/>
      <c r="AJ816" s="154"/>
      <c r="AK816" s="154"/>
      <c r="AL816" s="154"/>
      <c r="AM816" s="154"/>
      <c r="AN816" s="154"/>
      <c r="AO816" s="154"/>
      <c r="AP816" s="152"/>
      <c r="AQ816" s="154"/>
      <c r="AR816" s="154"/>
      <c r="AS816" s="154"/>
    </row>
    <row r="817" customFormat="false" ht="14.25" hidden="false" customHeight="false" outlineLevel="0" collapsed="false">
      <c r="A817" s="29"/>
      <c r="B817" s="147"/>
      <c r="C817" s="156"/>
      <c r="D817" s="149"/>
      <c r="E817" s="149"/>
      <c r="F817" s="149"/>
      <c r="G817" s="149"/>
      <c r="H817" s="141"/>
      <c r="I817" s="143"/>
      <c r="J817" s="143"/>
      <c r="K817" s="143"/>
      <c r="L817" s="143"/>
      <c r="M817" s="143"/>
      <c r="N817" s="143"/>
      <c r="O817" s="143"/>
      <c r="P817" s="143"/>
      <c r="Q817" s="143"/>
      <c r="R817" s="143"/>
      <c r="S817" s="143"/>
      <c r="T817" s="143"/>
      <c r="U817" s="143"/>
      <c r="V817" s="143"/>
      <c r="W817" s="143"/>
      <c r="X817" s="143"/>
      <c r="Y817" s="143"/>
      <c r="Z817" s="152"/>
      <c r="AA817" s="143"/>
      <c r="AB817" s="154"/>
      <c r="AC817" s="152"/>
      <c r="AD817" s="152"/>
      <c r="AE817" s="154"/>
      <c r="AF817" s="154"/>
      <c r="AG817" s="154"/>
      <c r="AH817" s="154"/>
      <c r="AI817" s="154"/>
      <c r="AJ817" s="154"/>
      <c r="AK817" s="154"/>
      <c r="AL817" s="154"/>
      <c r="AM817" s="154"/>
      <c r="AN817" s="154"/>
      <c r="AO817" s="154"/>
      <c r="AP817" s="152"/>
      <c r="AQ817" s="154"/>
      <c r="AR817" s="154"/>
      <c r="AS817" s="154"/>
    </row>
    <row r="818" customFormat="false" ht="14.25" hidden="false" customHeight="false" outlineLevel="0" collapsed="false">
      <c r="A818" s="29"/>
      <c r="B818" s="147"/>
      <c r="C818" s="148"/>
      <c r="D818" s="149"/>
      <c r="E818" s="149"/>
      <c r="F818" s="149"/>
      <c r="G818" s="149"/>
      <c r="H818" s="141"/>
      <c r="I818" s="143"/>
      <c r="J818" s="143"/>
      <c r="K818" s="143"/>
      <c r="L818" s="143"/>
      <c r="M818" s="143"/>
      <c r="N818" s="143"/>
      <c r="O818" s="143"/>
      <c r="P818" s="143"/>
      <c r="Q818" s="143"/>
      <c r="R818" s="143"/>
      <c r="S818" s="143"/>
      <c r="T818" s="143"/>
      <c r="U818" s="143"/>
      <c r="V818" s="143"/>
      <c r="W818" s="143"/>
      <c r="X818" s="143"/>
      <c r="Y818" s="143"/>
      <c r="Z818" s="152"/>
      <c r="AA818" s="143"/>
      <c r="AB818" s="154"/>
      <c r="AC818" s="152"/>
      <c r="AD818" s="152"/>
      <c r="AE818" s="154"/>
      <c r="AF818" s="154"/>
      <c r="AG818" s="154"/>
      <c r="AH818" s="154"/>
      <c r="AI818" s="154"/>
      <c r="AJ818" s="154"/>
      <c r="AK818" s="154"/>
      <c r="AL818" s="154"/>
      <c r="AM818" s="154"/>
      <c r="AN818" s="154"/>
      <c r="AO818" s="154"/>
      <c r="AP818" s="152"/>
      <c r="AQ818" s="154"/>
      <c r="AR818" s="154"/>
      <c r="AS818" s="154"/>
    </row>
    <row r="819" customFormat="false" ht="14.25" hidden="false" customHeight="false" outlineLevel="0" collapsed="false">
      <c r="A819" s="29"/>
      <c r="B819" s="147"/>
      <c r="C819" s="155"/>
      <c r="D819" s="149"/>
      <c r="E819" s="149"/>
      <c r="F819" s="149"/>
      <c r="G819" s="149"/>
      <c r="H819" s="141"/>
      <c r="I819" s="143"/>
      <c r="J819" s="143"/>
      <c r="K819" s="143"/>
      <c r="L819" s="143"/>
      <c r="M819" s="143"/>
      <c r="N819" s="143"/>
      <c r="O819" s="143"/>
      <c r="P819" s="143"/>
      <c r="Q819" s="143"/>
      <c r="R819" s="143"/>
      <c r="S819" s="143"/>
      <c r="T819" s="143"/>
      <c r="U819" s="143"/>
      <c r="V819" s="143"/>
      <c r="W819" s="143"/>
      <c r="X819" s="143"/>
      <c r="Y819" s="143"/>
      <c r="Z819" s="152"/>
      <c r="AA819" s="143"/>
      <c r="AB819" s="154"/>
      <c r="AC819" s="152"/>
      <c r="AD819" s="152"/>
      <c r="AE819" s="154"/>
      <c r="AF819" s="154"/>
      <c r="AG819" s="154"/>
      <c r="AH819" s="154"/>
      <c r="AI819" s="154"/>
      <c r="AJ819" s="154"/>
      <c r="AK819" s="154"/>
      <c r="AL819" s="154"/>
      <c r="AM819" s="154"/>
      <c r="AN819" s="154"/>
      <c r="AO819" s="154"/>
      <c r="AP819" s="152"/>
      <c r="AQ819" s="154"/>
      <c r="AR819" s="154"/>
      <c r="AS819" s="154"/>
    </row>
    <row r="820" customFormat="false" ht="14.25" hidden="false" customHeight="false" outlineLevel="0" collapsed="false">
      <c r="A820" s="29"/>
      <c r="B820" s="147"/>
      <c r="C820" s="156"/>
      <c r="D820" s="149"/>
      <c r="E820" s="149"/>
      <c r="F820" s="149"/>
      <c r="G820" s="149"/>
      <c r="H820" s="141"/>
      <c r="I820" s="143"/>
      <c r="J820" s="143"/>
      <c r="K820" s="143"/>
      <c r="L820" s="143"/>
      <c r="M820" s="143"/>
      <c r="N820" s="143"/>
      <c r="O820" s="143"/>
      <c r="P820" s="143"/>
      <c r="Q820" s="143"/>
      <c r="R820" s="143"/>
      <c r="S820" s="143"/>
      <c r="T820" s="143"/>
      <c r="U820" s="143"/>
      <c r="V820" s="143"/>
      <c r="W820" s="143"/>
      <c r="X820" s="143"/>
      <c r="Y820" s="143"/>
      <c r="Z820" s="152"/>
      <c r="AA820" s="143"/>
      <c r="AB820" s="154"/>
      <c r="AC820" s="152"/>
      <c r="AD820" s="152"/>
      <c r="AE820" s="154"/>
      <c r="AF820" s="154"/>
      <c r="AG820" s="154"/>
      <c r="AH820" s="154"/>
      <c r="AI820" s="154"/>
      <c r="AJ820" s="154"/>
      <c r="AK820" s="154"/>
      <c r="AL820" s="154"/>
      <c r="AM820" s="154"/>
      <c r="AN820" s="154"/>
      <c r="AO820" s="154"/>
      <c r="AP820" s="152"/>
      <c r="AQ820" s="154"/>
      <c r="AR820" s="154"/>
      <c r="AS820" s="154"/>
    </row>
    <row r="821" customFormat="false" ht="14.25" hidden="false" customHeight="false" outlineLevel="0" collapsed="false">
      <c r="A821" s="29"/>
      <c r="B821" s="147"/>
      <c r="C821" s="148"/>
      <c r="D821" s="149"/>
      <c r="E821" s="149"/>
      <c r="F821" s="149"/>
      <c r="G821" s="149"/>
      <c r="H821" s="141"/>
      <c r="I821" s="143"/>
      <c r="J821" s="143"/>
      <c r="K821" s="143"/>
      <c r="L821" s="143"/>
      <c r="M821" s="143"/>
      <c r="N821" s="143"/>
      <c r="O821" s="143"/>
      <c r="P821" s="143"/>
      <c r="Q821" s="143"/>
      <c r="R821" s="143"/>
      <c r="S821" s="143"/>
      <c r="T821" s="143"/>
      <c r="U821" s="143"/>
      <c r="V821" s="143"/>
      <c r="W821" s="143"/>
      <c r="X821" s="143"/>
      <c r="Y821" s="143"/>
      <c r="Z821" s="152"/>
      <c r="AA821" s="143"/>
      <c r="AB821" s="154"/>
      <c r="AC821" s="152"/>
      <c r="AD821" s="152"/>
      <c r="AE821" s="154"/>
      <c r="AF821" s="154"/>
      <c r="AG821" s="154"/>
      <c r="AH821" s="154"/>
      <c r="AI821" s="154"/>
      <c r="AJ821" s="154"/>
      <c r="AK821" s="154"/>
      <c r="AL821" s="154"/>
      <c r="AM821" s="154"/>
      <c r="AN821" s="154"/>
      <c r="AO821" s="154"/>
      <c r="AP821" s="152"/>
      <c r="AQ821" s="154"/>
      <c r="AR821" s="154"/>
      <c r="AS821" s="154"/>
    </row>
    <row r="822" customFormat="false" ht="14.25" hidden="false" customHeight="false" outlineLevel="0" collapsed="false">
      <c r="A822" s="29"/>
      <c r="B822" s="147"/>
      <c r="C822" s="155"/>
      <c r="D822" s="149"/>
      <c r="E822" s="149"/>
      <c r="F822" s="149"/>
      <c r="G822" s="149"/>
      <c r="H822" s="141"/>
      <c r="I822" s="143"/>
      <c r="J822" s="143"/>
      <c r="K822" s="143"/>
      <c r="L822" s="143"/>
      <c r="M822" s="143"/>
      <c r="N822" s="143"/>
      <c r="O822" s="143"/>
      <c r="P822" s="143"/>
      <c r="Q822" s="143"/>
      <c r="R822" s="143"/>
      <c r="S822" s="143"/>
      <c r="T822" s="143"/>
      <c r="U822" s="143"/>
      <c r="V822" s="143"/>
      <c r="W822" s="143"/>
      <c r="X822" s="143"/>
      <c r="Y822" s="143"/>
      <c r="Z822" s="152"/>
      <c r="AA822" s="143"/>
      <c r="AB822" s="154"/>
      <c r="AC822" s="152"/>
      <c r="AD822" s="152"/>
      <c r="AE822" s="154"/>
      <c r="AF822" s="154"/>
      <c r="AG822" s="154"/>
      <c r="AH822" s="154"/>
      <c r="AI822" s="154"/>
      <c r="AJ822" s="154"/>
      <c r="AK822" s="154"/>
      <c r="AL822" s="154"/>
      <c r="AM822" s="154"/>
      <c r="AN822" s="154"/>
      <c r="AO822" s="154"/>
      <c r="AP822" s="152"/>
      <c r="AQ822" s="154"/>
      <c r="AR822" s="154"/>
      <c r="AS822" s="154"/>
    </row>
    <row r="823" customFormat="false" ht="14.25" hidden="false" customHeight="false" outlineLevel="0" collapsed="false">
      <c r="A823" s="29"/>
      <c r="B823" s="147"/>
      <c r="C823" s="156"/>
      <c r="D823" s="149"/>
      <c r="E823" s="149"/>
      <c r="F823" s="149"/>
      <c r="G823" s="149"/>
      <c r="H823" s="141"/>
      <c r="I823" s="143"/>
      <c r="J823" s="143"/>
      <c r="K823" s="143"/>
      <c r="L823" s="143"/>
      <c r="M823" s="143"/>
      <c r="N823" s="143"/>
      <c r="O823" s="143"/>
      <c r="P823" s="143"/>
      <c r="Q823" s="143"/>
      <c r="R823" s="143"/>
      <c r="S823" s="143"/>
      <c r="T823" s="143"/>
      <c r="U823" s="143"/>
      <c r="V823" s="143"/>
      <c r="W823" s="143"/>
      <c r="X823" s="143"/>
      <c r="Y823" s="143"/>
      <c r="Z823" s="152"/>
      <c r="AA823" s="143"/>
      <c r="AB823" s="154"/>
      <c r="AC823" s="152"/>
      <c r="AD823" s="152"/>
      <c r="AE823" s="154"/>
      <c r="AF823" s="154"/>
      <c r="AG823" s="154"/>
      <c r="AH823" s="154"/>
      <c r="AI823" s="154"/>
      <c r="AJ823" s="154"/>
      <c r="AK823" s="154"/>
      <c r="AL823" s="154"/>
      <c r="AM823" s="154"/>
      <c r="AN823" s="154"/>
      <c r="AO823" s="154"/>
      <c r="AP823" s="152"/>
      <c r="AQ823" s="154"/>
      <c r="AR823" s="154"/>
      <c r="AS823" s="154"/>
    </row>
    <row r="824" customFormat="false" ht="14.25" hidden="false" customHeight="false" outlineLevel="0" collapsed="false">
      <c r="A824" s="29"/>
      <c r="B824" s="147"/>
      <c r="C824" s="148"/>
      <c r="D824" s="149"/>
      <c r="E824" s="149"/>
      <c r="F824" s="149"/>
      <c r="G824" s="149"/>
      <c r="H824" s="141"/>
      <c r="I824" s="143"/>
      <c r="J824" s="143"/>
      <c r="K824" s="143"/>
      <c r="L824" s="143"/>
      <c r="M824" s="143"/>
      <c r="N824" s="143"/>
      <c r="O824" s="143"/>
      <c r="P824" s="143"/>
      <c r="Q824" s="143"/>
      <c r="R824" s="143"/>
      <c r="S824" s="143"/>
      <c r="T824" s="143"/>
      <c r="U824" s="143"/>
      <c r="V824" s="143"/>
      <c r="W824" s="143"/>
      <c r="X824" s="143"/>
      <c r="Y824" s="143"/>
      <c r="Z824" s="152"/>
      <c r="AA824" s="143"/>
      <c r="AB824" s="154"/>
      <c r="AC824" s="152"/>
      <c r="AD824" s="152"/>
      <c r="AE824" s="154"/>
      <c r="AF824" s="154"/>
      <c r="AG824" s="154"/>
      <c r="AH824" s="154"/>
      <c r="AI824" s="154"/>
      <c r="AJ824" s="154"/>
      <c r="AK824" s="154"/>
      <c r="AL824" s="154"/>
      <c r="AM824" s="154"/>
      <c r="AN824" s="154"/>
      <c r="AO824" s="154"/>
      <c r="AP824" s="152"/>
      <c r="AQ824" s="154"/>
      <c r="AR824" s="154"/>
      <c r="AS824" s="154"/>
    </row>
    <row r="825" customFormat="false" ht="14.25" hidden="false" customHeight="false" outlineLevel="0" collapsed="false">
      <c r="A825" s="29"/>
      <c r="B825" s="147"/>
      <c r="C825" s="155"/>
      <c r="D825" s="149"/>
      <c r="E825" s="149"/>
      <c r="F825" s="149"/>
      <c r="G825" s="149"/>
      <c r="H825" s="141"/>
      <c r="I825" s="143"/>
      <c r="J825" s="143"/>
      <c r="K825" s="143"/>
      <c r="L825" s="143"/>
      <c r="M825" s="143"/>
      <c r="N825" s="143"/>
      <c r="O825" s="143"/>
      <c r="P825" s="143"/>
      <c r="Q825" s="143"/>
      <c r="R825" s="143"/>
      <c r="S825" s="143"/>
      <c r="T825" s="143"/>
      <c r="U825" s="143"/>
      <c r="V825" s="143"/>
      <c r="W825" s="143"/>
      <c r="X825" s="143"/>
      <c r="Y825" s="143"/>
      <c r="Z825" s="152"/>
      <c r="AA825" s="143"/>
      <c r="AB825" s="154"/>
      <c r="AC825" s="152"/>
      <c r="AD825" s="152"/>
      <c r="AE825" s="154"/>
      <c r="AF825" s="154"/>
      <c r="AG825" s="154"/>
      <c r="AH825" s="154"/>
      <c r="AI825" s="154"/>
      <c r="AJ825" s="154"/>
      <c r="AK825" s="154"/>
      <c r="AL825" s="154"/>
      <c r="AM825" s="154"/>
      <c r="AN825" s="154"/>
      <c r="AO825" s="154"/>
      <c r="AP825" s="152"/>
      <c r="AQ825" s="154"/>
      <c r="AR825" s="154"/>
      <c r="AS825" s="154"/>
    </row>
    <row r="826" customFormat="false" ht="14.25" hidden="false" customHeight="false" outlineLevel="0" collapsed="false">
      <c r="A826" s="29"/>
      <c r="B826" s="147"/>
      <c r="C826" s="156"/>
      <c r="D826" s="149"/>
      <c r="E826" s="149"/>
      <c r="F826" s="149"/>
      <c r="G826" s="149"/>
      <c r="H826" s="141"/>
      <c r="I826" s="143"/>
      <c r="J826" s="143"/>
      <c r="K826" s="143"/>
      <c r="L826" s="143"/>
      <c r="M826" s="143"/>
      <c r="N826" s="143"/>
      <c r="O826" s="143"/>
      <c r="P826" s="143"/>
      <c r="Q826" s="143"/>
      <c r="R826" s="143"/>
      <c r="S826" s="143"/>
      <c r="T826" s="143"/>
      <c r="U826" s="143"/>
      <c r="V826" s="143"/>
      <c r="W826" s="143"/>
      <c r="X826" s="143"/>
      <c r="Y826" s="143"/>
      <c r="Z826" s="152"/>
      <c r="AA826" s="143"/>
      <c r="AB826" s="154"/>
      <c r="AC826" s="152"/>
      <c r="AD826" s="152"/>
      <c r="AE826" s="154"/>
      <c r="AF826" s="154"/>
      <c r="AG826" s="154"/>
      <c r="AH826" s="154"/>
      <c r="AI826" s="154"/>
      <c r="AJ826" s="154"/>
      <c r="AK826" s="154"/>
      <c r="AL826" s="154"/>
      <c r="AM826" s="154"/>
      <c r="AN826" s="154"/>
      <c r="AO826" s="154"/>
      <c r="AP826" s="152"/>
      <c r="AQ826" s="154"/>
      <c r="AR826" s="154"/>
      <c r="AS826" s="154"/>
    </row>
    <row r="827" customFormat="false" ht="14.25" hidden="false" customHeight="false" outlineLevel="0" collapsed="false">
      <c r="A827" s="29"/>
      <c r="B827" s="147"/>
      <c r="C827" s="148"/>
      <c r="D827" s="149"/>
      <c r="E827" s="149"/>
      <c r="F827" s="149"/>
      <c r="G827" s="149"/>
      <c r="H827" s="141"/>
      <c r="I827" s="143"/>
      <c r="J827" s="143"/>
      <c r="K827" s="143"/>
      <c r="L827" s="143"/>
      <c r="M827" s="143"/>
      <c r="N827" s="143"/>
      <c r="O827" s="143"/>
      <c r="P827" s="143"/>
      <c r="Q827" s="143"/>
      <c r="R827" s="143"/>
      <c r="S827" s="143"/>
      <c r="T827" s="143"/>
      <c r="U827" s="143"/>
      <c r="V827" s="143"/>
      <c r="W827" s="143"/>
      <c r="X827" s="143"/>
      <c r="Y827" s="143"/>
      <c r="Z827" s="152"/>
      <c r="AA827" s="143"/>
      <c r="AB827" s="154"/>
      <c r="AC827" s="152"/>
      <c r="AD827" s="152"/>
      <c r="AE827" s="154"/>
      <c r="AF827" s="154"/>
      <c r="AG827" s="154"/>
      <c r="AH827" s="154"/>
      <c r="AI827" s="154"/>
      <c r="AJ827" s="154"/>
      <c r="AK827" s="154"/>
      <c r="AL827" s="154"/>
      <c r="AM827" s="154"/>
      <c r="AN827" s="154"/>
      <c r="AO827" s="154"/>
      <c r="AP827" s="152"/>
      <c r="AQ827" s="154"/>
      <c r="AR827" s="154"/>
      <c r="AS827" s="154"/>
    </row>
    <row r="828" customFormat="false" ht="14.25" hidden="false" customHeight="false" outlineLevel="0" collapsed="false">
      <c r="A828" s="29"/>
      <c r="B828" s="147"/>
      <c r="C828" s="155"/>
      <c r="D828" s="149"/>
      <c r="E828" s="149"/>
      <c r="F828" s="149"/>
      <c r="G828" s="149"/>
      <c r="H828" s="141"/>
      <c r="I828" s="143"/>
      <c r="J828" s="143"/>
      <c r="K828" s="143"/>
      <c r="L828" s="143"/>
      <c r="M828" s="143"/>
      <c r="N828" s="143"/>
      <c r="O828" s="143"/>
      <c r="P828" s="143"/>
      <c r="Q828" s="143"/>
      <c r="R828" s="143"/>
      <c r="S828" s="143"/>
      <c r="T828" s="143"/>
      <c r="U828" s="143"/>
      <c r="V828" s="143"/>
      <c r="W828" s="143"/>
      <c r="X828" s="143"/>
      <c r="Y828" s="143"/>
      <c r="Z828" s="152"/>
      <c r="AA828" s="143"/>
      <c r="AB828" s="154"/>
      <c r="AC828" s="152"/>
      <c r="AD828" s="152"/>
      <c r="AE828" s="166"/>
      <c r="AF828" s="166"/>
      <c r="AG828" s="166"/>
      <c r="AH828" s="166"/>
      <c r="AI828" s="166"/>
      <c r="AJ828" s="166"/>
      <c r="AK828" s="166"/>
      <c r="AL828" s="166"/>
      <c r="AM828" s="166"/>
      <c r="AN828" s="166"/>
      <c r="AO828" s="166"/>
      <c r="AP828" s="152"/>
      <c r="AQ828" s="167"/>
      <c r="AR828" s="167"/>
      <c r="AS828" s="167"/>
    </row>
    <row r="829" customFormat="false" ht="14.25" hidden="false" customHeight="false" outlineLevel="0" collapsed="false">
      <c r="A829" s="29"/>
      <c r="B829" s="147"/>
      <c r="C829" s="156"/>
      <c r="D829" s="149"/>
      <c r="E829" s="149"/>
      <c r="F829" s="149"/>
      <c r="G829" s="149"/>
      <c r="H829" s="141"/>
      <c r="I829" s="143"/>
      <c r="J829" s="143"/>
      <c r="K829" s="143"/>
      <c r="L829" s="143"/>
      <c r="M829" s="143"/>
      <c r="N829" s="143"/>
      <c r="O829" s="143"/>
      <c r="P829" s="143"/>
      <c r="Q829" s="143"/>
      <c r="R829" s="143"/>
      <c r="S829" s="143"/>
      <c r="T829" s="143"/>
      <c r="U829" s="143"/>
      <c r="V829" s="143"/>
      <c r="W829" s="143"/>
      <c r="X829" s="143"/>
      <c r="Y829" s="143"/>
      <c r="Z829" s="152"/>
      <c r="AA829" s="143"/>
      <c r="AB829" s="154"/>
      <c r="AC829" s="152"/>
      <c r="AD829" s="152"/>
      <c r="AE829" s="166"/>
      <c r="AF829" s="166"/>
      <c r="AG829" s="166"/>
      <c r="AH829" s="166"/>
      <c r="AI829" s="166"/>
      <c r="AJ829" s="166"/>
      <c r="AK829" s="166"/>
      <c r="AL829" s="166"/>
      <c r="AM829" s="166"/>
      <c r="AN829" s="166"/>
      <c r="AO829" s="166"/>
      <c r="AP829" s="152"/>
      <c r="AQ829" s="167"/>
      <c r="AR829" s="167"/>
      <c r="AS829" s="167"/>
    </row>
    <row r="831" customFormat="false" ht="14.25" hidden="false" customHeight="false" outlineLevel="0" collapsed="false">
      <c r="B831" s="157"/>
      <c r="C831" s="158"/>
      <c r="D831" s="53"/>
      <c r="E831" s="53"/>
      <c r="F831" s="53"/>
      <c r="G831" s="53"/>
      <c r="H831" s="54"/>
      <c r="I831" s="55"/>
      <c r="J831" s="56"/>
      <c r="K831" s="55"/>
      <c r="L831" s="54"/>
      <c r="M831" s="54"/>
      <c r="N831" s="54"/>
      <c r="O831" s="57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157"/>
      <c r="AA831" s="53"/>
      <c r="AE831" s="157"/>
      <c r="AI831" s="157"/>
      <c r="AJ831" s="157"/>
      <c r="AK831" s="157"/>
      <c r="AL831" s="157"/>
    </row>
    <row r="832" customFormat="false" ht="14.25" hidden="false" customHeight="false" outlineLevel="0" collapsed="false">
      <c r="A832" s="105"/>
      <c r="B832" s="105"/>
      <c r="C832" s="105"/>
      <c r="D832" s="105"/>
      <c r="E832" s="105"/>
      <c r="F832" s="105"/>
      <c r="G832" s="105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05"/>
      <c r="Z832" s="105"/>
      <c r="AA832" s="105"/>
      <c r="AB832" s="105"/>
      <c r="AC832" s="105"/>
      <c r="AD832" s="105"/>
      <c r="AE832" s="105"/>
      <c r="AF832" s="105"/>
      <c r="AG832" s="105"/>
      <c r="AH832" s="105"/>
      <c r="AI832" s="105"/>
      <c r="AJ832" s="105"/>
      <c r="AK832" s="105"/>
      <c r="AL832" s="105"/>
      <c r="AM832" s="105"/>
      <c r="AN832" s="105"/>
      <c r="AO832" s="105"/>
      <c r="AP832" s="105"/>
      <c r="AQ832" s="105"/>
      <c r="AR832" s="105"/>
      <c r="AS832" s="105"/>
    </row>
    <row r="833" customFormat="false" ht="14.25" hidden="false" customHeight="false" outlineLevel="0" collapsed="false">
      <c r="A833" s="105"/>
      <c r="B833" s="105"/>
      <c r="C833" s="105"/>
      <c r="D833" s="105"/>
      <c r="E833" s="105"/>
      <c r="F833" s="105"/>
      <c r="G833" s="105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05"/>
      <c r="Z833" s="105"/>
      <c r="AA833" s="105"/>
      <c r="AB833" s="105"/>
      <c r="AC833" s="105"/>
      <c r="AD833" s="105"/>
      <c r="AE833" s="105"/>
      <c r="AF833" s="105"/>
      <c r="AG833" s="105"/>
      <c r="AH833" s="105"/>
      <c r="AI833" s="105"/>
      <c r="AJ833" s="105"/>
      <c r="AK833" s="105"/>
      <c r="AL833" s="105"/>
      <c r="AM833" s="105"/>
      <c r="AN833" s="105"/>
      <c r="AO833" s="105"/>
      <c r="AP833" s="105"/>
      <c r="AQ833" s="105"/>
      <c r="AR833" s="105"/>
      <c r="AS833" s="105"/>
    </row>
    <row r="834" customFormat="false" ht="17.25" hidden="false" customHeight="false" outlineLevel="0" collapsed="false">
      <c r="A834" s="106"/>
      <c r="B834" s="106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  <c r="AA834" s="106"/>
      <c r="AB834" s="106"/>
      <c r="AC834" s="106"/>
      <c r="AD834" s="106"/>
      <c r="AE834" s="106"/>
      <c r="AF834" s="106"/>
      <c r="AG834" s="106"/>
      <c r="AH834" s="106"/>
      <c r="AI834" s="106"/>
      <c r="AJ834" s="106"/>
      <c r="AK834" s="106"/>
      <c r="AL834" s="106"/>
      <c r="AM834" s="106"/>
      <c r="AN834" s="106"/>
      <c r="AO834" s="106"/>
      <c r="AP834" s="106"/>
      <c r="AQ834" s="106"/>
      <c r="AR834" s="106"/>
      <c r="AS834" s="106"/>
    </row>
    <row r="835" customFormat="false" ht="15" hidden="false" customHeight="false" outlineLevel="0" collapsed="false">
      <c r="A835" s="107"/>
      <c r="B835" s="107"/>
      <c r="C835" s="108"/>
      <c r="D835" s="109"/>
      <c r="E835" s="109"/>
      <c r="F835" s="109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  <c r="Y835" s="109"/>
      <c r="Z835" s="109"/>
      <c r="AA835" s="110"/>
      <c r="AB835" s="111"/>
      <c r="AC835" s="111"/>
      <c r="AD835" s="111"/>
      <c r="AE835" s="111"/>
      <c r="AF835" s="111"/>
      <c r="AG835" s="111"/>
      <c r="AH835" s="111"/>
      <c r="AI835" s="111"/>
      <c r="AJ835" s="111"/>
      <c r="AK835" s="111"/>
      <c r="AL835" s="111"/>
      <c r="AM835" s="112"/>
      <c r="AN835" s="113"/>
      <c r="AO835" s="113"/>
      <c r="AP835" s="114"/>
      <c r="AQ835" s="114"/>
      <c r="AR835" s="114"/>
      <c r="AS835" s="114"/>
    </row>
    <row r="836" customFormat="false" ht="15" hidden="false" customHeight="false" outlineLevel="0" collapsed="false">
      <c r="A836" s="107"/>
      <c r="B836" s="107"/>
      <c r="C836" s="60"/>
      <c r="D836" s="110"/>
      <c r="E836" s="110"/>
      <c r="F836" s="110"/>
      <c r="G836" s="110"/>
      <c r="H836" s="115"/>
      <c r="I836" s="115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  <c r="Y836" s="109"/>
      <c r="Z836" s="109"/>
      <c r="AA836" s="110"/>
      <c r="AB836" s="115"/>
      <c r="AC836" s="115"/>
      <c r="AD836" s="115"/>
      <c r="AE836" s="111"/>
      <c r="AF836" s="111"/>
      <c r="AG836" s="111"/>
      <c r="AH836" s="111"/>
      <c r="AI836" s="115"/>
      <c r="AJ836" s="115"/>
      <c r="AK836" s="115"/>
      <c r="AL836" s="115"/>
      <c r="AM836" s="112"/>
      <c r="AN836" s="116"/>
      <c r="AO836" s="116"/>
      <c r="AP836" s="114"/>
      <c r="AQ836" s="114"/>
      <c r="AR836" s="114"/>
      <c r="AS836" s="114"/>
    </row>
    <row r="837" customFormat="false" ht="15.75" hidden="false" customHeight="false" outlineLevel="0" collapsed="false">
      <c r="A837" s="107"/>
      <c r="B837" s="107"/>
      <c r="C837" s="60"/>
      <c r="D837" s="110"/>
      <c r="E837" s="110"/>
      <c r="F837" s="110"/>
      <c r="G837" s="110"/>
      <c r="H837" s="115"/>
      <c r="I837" s="115"/>
      <c r="J837" s="117"/>
      <c r="K837" s="117"/>
      <c r="L837" s="117"/>
      <c r="M837" s="117"/>
      <c r="N837" s="117"/>
      <c r="O837" s="117"/>
      <c r="P837" s="117"/>
      <c r="Q837" s="117"/>
      <c r="R837" s="117"/>
      <c r="S837" s="117"/>
      <c r="T837" s="117"/>
      <c r="U837" s="117"/>
      <c r="V837" s="117"/>
      <c r="W837" s="117"/>
      <c r="X837" s="117"/>
      <c r="Y837" s="117"/>
      <c r="Z837" s="117"/>
      <c r="AA837" s="117"/>
      <c r="AB837" s="115"/>
      <c r="AC837" s="115"/>
      <c r="AD837" s="115"/>
      <c r="AE837" s="115"/>
      <c r="AF837" s="115"/>
      <c r="AG837" s="115"/>
      <c r="AH837" s="115"/>
      <c r="AI837" s="115"/>
      <c r="AJ837" s="115"/>
      <c r="AK837" s="115"/>
      <c r="AL837" s="115"/>
      <c r="AM837" s="112"/>
      <c r="AN837" s="118"/>
      <c r="AO837" s="118"/>
      <c r="AP837" s="114"/>
      <c r="AQ837" s="114"/>
      <c r="AR837" s="114"/>
      <c r="AS837" s="114"/>
    </row>
    <row r="838" customFormat="false" ht="14.25" hidden="false" customHeight="false" outlineLevel="0" collapsed="false">
      <c r="A838" s="119"/>
      <c r="B838" s="120"/>
      <c r="C838" s="121"/>
      <c r="D838" s="122"/>
      <c r="E838" s="12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  <c r="AA838" s="168"/>
      <c r="AB838" s="123"/>
      <c r="AC838" s="124"/>
      <c r="AD838" s="124"/>
      <c r="AE838" s="124"/>
      <c r="AF838" s="124"/>
      <c r="AG838" s="124"/>
      <c r="AH838" s="124"/>
      <c r="AI838" s="124"/>
      <c r="AJ838" s="124"/>
      <c r="AK838" s="124"/>
      <c r="AL838" s="124"/>
      <c r="AM838" s="124"/>
      <c r="AN838" s="124"/>
      <c r="AO838" s="124"/>
      <c r="AP838" s="124"/>
      <c r="AQ838" s="125"/>
      <c r="AR838" s="125"/>
      <c r="AS838" s="125"/>
    </row>
    <row r="839" customFormat="false" ht="15" hidden="false" customHeight="false" outlineLevel="0" collapsed="false">
      <c r="A839" s="119"/>
      <c r="B839" s="120"/>
      <c r="C839" s="126"/>
      <c r="D839" s="127"/>
      <c r="E839" s="127"/>
      <c r="F839" s="127"/>
      <c r="G839" s="127"/>
      <c r="H839" s="169"/>
      <c r="I839" s="169"/>
      <c r="J839" s="169"/>
      <c r="K839" s="169"/>
      <c r="L839" s="169"/>
      <c r="M839" s="169"/>
      <c r="N839" s="169"/>
      <c r="O839" s="169"/>
      <c r="P839" s="169"/>
      <c r="Q839" s="169"/>
      <c r="R839" s="170"/>
      <c r="S839" s="170"/>
      <c r="T839" s="170"/>
      <c r="U839" s="170"/>
      <c r="V839" s="170"/>
      <c r="W839" s="170"/>
      <c r="X839" s="170"/>
      <c r="Y839" s="170"/>
      <c r="Z839" s="130"/>
      <c r="AA839" s="168"/>
      <c r="AB839" s="123"/>
      <c r="AC839" s="131"/>
      <c r="AD839" s="131"/>
      <c r="AE839" s="131"/>
      <c r="AF839" s="131"/>
      <c r="AG839" s="131"/>
      <c r="AH839" s="131"/>
      <c r="AI839" s="131"/>
      <c r="AJ839" s="132"/>
      <c r="AK839" s="132"/>
      <c r="AL839" s="132"/>
      <c r="AM839" s="132"/>
      <c r="AN839" s="132"/>
      <c r="AO839" s="132"/>
      <c r="AP839" s="132"/>
      <c r="AQ839" s="125"/>
      <c r="AR839" s="125"/>
      <c r="AS839" s="125"/>
    </row>
    <row r="840" customFormat="false" ht="15" hidden="false" customHeight="false" outlineLevel="0" collapsed="false">
      <c r="A840" s="119"/>
      <c r="B840" s="120"/>
      <c r="C840" s="126"/>
      <c r="D840" s="127"/>
      <c r="E840" s="127"/>
      <c r="F840" s="127"/>
      <c r="G840" s="127"/>
      <c r="H840" s="170"/>
      <c r="I840" s="169"/>
      <c r="J840" s="170"/>
      <c r="K840" s="170"/>
      <c r="L840" s="170"/>
      <c r="M840" s="170"/>
      <c r="N840" s="170"/>
      <c r="O840" s="170"/>
      <c r="P840" s="170"/>
      <c r="Q840" s="171"/>
      <c r="R840" s="169"/>
      <c r="S840" s="169"/>
      <c r="T840" s="169"/>
      <c r="U840" s="169"/>
      <c r="V840" s="169"/>
      <c r="W840" s="170"/>
      <c r="X840" s="170"/>
      <c r="Y840" s="170"/>
      <c r="Z840" s="130"/>
      <c r="AA840" s="168"/>
      <c r="AB840" s="123"/>
      <c r="AC840" s="133"/>
      <c r="AD840" s="134"/>
      <c r="AE840" s="172"/>
      <c r="AF840" s="173"/>
      <c r="AG840" s="174"/>
      <c r="AH840" s="174"/>
      <c r="AI840" s="172"/>
      <c r="AJ840" s="172"/>
      <c r="AK840" s="175"/>
      <c r="AL840" s="172"/>
      <c r="AM840" s="172"/>
      <c r="AN840" s="175"/>
      <c r="AO840" s="175"/>
      <c r="AP840" s="133"/>
      <c r="AQ840" s="125"/>
      <c r="AR840" s="125"/>
      <c r="AS840" s="125"/>
    </row>
    <row r="841" customFormat="false" ht="15" hidden="false" customHeight="false" outlineLevel="0" collapsed="false">
      <c r="A841" s="119"/>
      <c r="B841" s="120"/>
      <c r="C841" s="140"/>
      <c r="D841" s="127"/>
      <c r="E841" s="127"/>
      <c r="F841" s="127"/>
      <c r="G841" s="127"/>
      <c r="H841" s="176"/>
      <c r="I841" s="176"/>
      <c r="J841" s="169"/>
      <c r="K841" s="176"/>
      <c r="L841" s="176"/>
      <c r="M841" s="176"/>
      <c r="N841" s="176"/>
      <c r="O841" s="176"/>
      <c r="P841" s="176"/>
      <c r="Q841" s="176"/>
      <c r="R841" s="176"/>
      <c r="S841" s="177"/>
      <c r="T841" s="177"/>
      <c r="U841" s="177"/>
      <c r="V841" s="169"/>
      <c r="W841" s="169"/>
      <c r="X841" s="169"/>
      <c r="Y841" s="169"/>
      <c r="Z841" s="143"/>
      <c r="AA841" s="168"/>
      <c r="AB841" s="123"/>
      <c r="AC841" s="133"/>
      <c r="AD841" s="144"/>
      <c r="AE841" s="172"/>
      <c r="AF841" s="173"/>
      <c r="AG841" s="178"/>
      <c r="AH841" s="178"/>
      <c r="AI841" s="172"/>
      <c r="AJ841" s="172"/>
      <c r="AK841" s="179"/>
      <c r="AL841" s="172"/>
      <c r="AM841" s="172"/>
      <c r="AN841" s="179"/>
      <c r="AO841" s="179"/>
      <c r="AP841" s="133"/>
      <c r="AQ841" s="125"/>
      <c r="AR841" s="125"/>
      <c r="AS841" s="125"/>
    </row>
    <row r="842" customFormat="false" ht="15" hidden="false" customHeight="false" outlineLevel="0" collapsed="false">
      <c r="A842" s="29"/>
      <c r="B842" s="180"/>
      <c r="C842" s="181"/>
      <c r="D842" s="149"/>
      <c r="E842" s="149"/>
      <c r="F842" s="149"/>
      <c r="G842" s="149"/>
      <c r="H842" s="182"/>
      <c r="I842" s="182"/>
      <c r="J842" s="182"/>
      <c r="K842" s="182"/>
      <c r="L842" s="182"/>
      <c r="M842" s="182"/>
      <c r="N842" s="182"/>
      <c r="O842" s="182"/>
      <c r="P842" s="182"/>
      <c r="Q842" s="182"/>
      <c r="R842" s="182"/>
      <c r="S842" s="182"/>
      <c r="T842" s="182"/>
      <c r="U842" s="182"/>
      <c r="V842" s="182"/>
      <c r="W842" s="182"/>
      <c r="X842" s="182"/>
      <c r="Y842" s="141"/>
      <c r="Z842" s="152"/>
      <c r="AA842" s="143"/>
      <c r="AB842" s="153"/>
      <c r="AC842" s="183"/>
      <c r="AD842" s="183"/>
      <c r="AE842" s="154"/>
      <c r="AF842" s="154"/>
      <c r="AG842" s="154"/>
      <c r="AH842" s="154"/>
      <c r="AI842" s="154"/>
      <c r="AJ842" s="154"/>
      <c r="AK842" s="154"/>
      <c r="AL842" s="154"/>
      <c r="AM842" s="154"/>
      <c r="AN842" s="154"/>
      <c r="AO842" s="154"/>
      <c r="AP842" s="183"/>
      <c r="AQ842" s="154"/>
      <c r="AR842" s="154"/>
      <c r="AS842" s="154"/>
    </row>
    <row r="843" customFormat="false" ht="15" hidden="false" customHeight="false" outlineLevel="0" collapsed="false">
      <c r="A843" s="29"/>
      <c r="B843" s="180"/>
      <c r="C843" s="184"/>
      <c r="D843" s="149"/>
      <c r="E843" s="149"/>
      <c r="F843" s="149"/>
      <c r="G843" s="149"/>
      <c r="H843" s="182"/>
      <c r="I843" s="182"/>
      <c r="J843" s="182"/>
      <c r="K843" s="182"/>
      <c r="L843" s="182"/>
      <c r="M843" s="182"/>
      <c r="N843" s="182"/>
      <c r="O843" s="182"/>
      <c r="P843" s="182"/>
      <c r="Q843" s="182"/>
      <c r="R843" s="182"/>
      <c r="S843" s="182"/>
      <c r="T843" s="182"/>
      <c r="U843" s="182"/>
      <c r="V843" s="182"/>
      <c r="W843" s="182"/>
      <c r="X843" s="182"/>
      <c r="Y843" s="141"/>
      <c r="Z843" s="152"/>
      <c r="AA843" s="143"/>
      <c r="AB843" s="154"/>
      <c r="AC843" s="183"/>
      <c r="AD843" s="183"/>
      <c r="AE843" s="154"/>
      <c r="AF843" s="154"/>
      <c r="AG843" s="154"/>
      <c r="AH843" s="154"/>
      <c r="AI843" s="154"/>
      <c r="AJ843" s="154"/>
      <c r="AK843" s="154"/>
      <c r="AL843" s="154"/>
      <c r="AM843" s="154"/>
      <c r="AN843" s="154"/>
      <c r="AO843" s="154"/>
      <c r="AP843" s="183"/>
      <c r="AQ843" s="154"/>
      <c r="AR843" s="154"/>
      <c r="AS843" s="154"/>
    </row>
    <row r="844" customFormat="false" ht="15" hidden="false" customHeight="false" outlineLevel="0" collapsed="false">
      <c r="A844" s="29"/>
      <c r="B844" s="180"/>
      <c r="C844" s="185"/>
      <c r="D844" s="149"/>
      <c r="E844" s="149"/>
      <c r="F844" s="149"/>
      <c r="G844" s="149"/>
      <c r="H844" s="182"/>
      <c r="I844" s="182"/>
      <c r="J844" s="182"/>
      <c r="K844" s="182"/>
      <c r="L844" s="182"/>
      <c r="M844" s="182"/>
      <c r="N844" s="182"/>
      <c r="O844" s="182"/>
      <c r="P844" s="182"/>
      <c r="Q844" s="182"/>
      <c r="R844" s="182"/>
      <c r="S844" s="182"/>
      <c r="T844" s="182"/>
      <c r="U844" s="182"/>
      <c r="V844" s="182"/>
      <c r="W844" s="182"/>
      <c r="X844" s="182"/>
      <c r="Y844" s="141"/>
      <c r="Z844" s="152"/>
      <c r="AA844" s="143"/>
      <c r="AB844" s="154"/>
      <c r="AC844" s="183"/>
      <c r="AD844" s="183"/>
      <c r="AE844" s="154"/>
      <c r="AF844" s="154"/>
      <c r="AG844" s="154"/>
      <c r="AH844" s="154"/>
      <c r="AI844" s="154"/>
      <c r="AJ844" s="154"/>
      <c r="AK844" s="154"/>
      <c r="AL844" s="154"/>
      <c r="AM844" s="154"/>
      <c r="AN844" s="154"/>
      <c r="AO844" s="154"/>
      <c r="AP844" s="183"/>
      <c r="AQ844" s="154"/>
      <c r="AR844" s="154"/>
      <c r="AS844" s="154"/>
    </row>
    <row r="845" customFormat="false" ht="15" hidden="false" customHeight="false" outlineLevel="0" collapsed="false">
      <c r="A845" s="29"/>
      <c r="B845" s="180"/>
      <c r="C845" s="181"/>
      <c r="D845" s="149"/>
      <c r="E845" s="149"/>
      <c r="F845" s="149"/>
      <c r="G845" s="149"/>
      <c r="H845" s="182"/>
      <c r="I845" s="182"/>
      <c r="J845" s="182"/>
      <c r="K845" s="182"/>
      <c r="L845" s="182"/>
      <c r="M845" s="182"/>
      <c r="N845" s="182"/>
      <c r="O845" s="182"/>
      <c r="P845" s="182"/>
      <c r="Q845" s="182"/>
      <c r="R845" s="182"/>
      <c r="S845" s="182"/>
      <c r="T845" s="182"/>
      <c r="U845" s="182"/>
      <c r="V845" s="182"/>
      <c r="W845" s="182"/>
      <c r="X845" s="182"/>
      <c r="Y845" s="141"/>
      <c r="Z845" s="152"/>
      <c r="AA845" s="143"/>
      <c r="AB845" s="153"/>
      <c r="AC845" s="183"/>
      <c r="AD845" s="183"/>
      <c r="AE845" s="154"/>
      <c r="AF845" s="154"/>
      <c r="AG845" s="154"/>
      <c r="AH845" s="154"/>
      <c r="AI845" s="154"/>
      <c r="AJ845" s="154"/>
      <c r="AK845" s="154"/>
      <c r="AL845" s="154"/>
      <c r="AM845" s="154"/>
      <c r="AN845" s="154"/>
      <c r="AO845" s="154"/>
      <c r="AP845" s="183"/>
      <c r="AQ845" s="154"/>
      <c r="AR845" s="154"/>
      <c r="AS845" s="154"/>
    </row>
    <row r="846" customFormat="false" ht="15" hidden="false" customHeight="false" outlineLevel="0" collapsed="false">
      <c r="A846" s="29"/>
      <c r="B846" s="180"/>
      <c r="C846" s="184"/>
      <c r="D846" s="149"/>
      <c r="E846" s="149"/>
      <c r="F846" s="149"/>
      <c r="G846" s="149"/>
      <c r="H846" s="182"/>
      <c r="I846" s="182"/>
      <c r="J846" s="182"/>
      <c r="K846" s="182"/>
      <c r="L846" s="182"/>
      <c r="M846" s="182"/>
      <c r="N846" s="182"/>
      <c r="O846" s="182"/>
      <c r="P846" s="182"/>
      <c r="Q846" s="182"/>
      <c r="R846" s="182"/>
      <c r="S846" s="182"/>
      <c r="T846" s="182"/>
      <c r="U846" s="182"/>
      <c r="V846" s="182"/>
      <c r="W846" s="182"/>
      <c r="X846" s="182"/>
      <c r="Y846" s="141"/>
      <c r="Z846" s="152"/>
      <c r="AA846" s="143"/>
      <c r="AB846" s="154"/>
      <c r="AC846" s="183"/>
      <c r="AD846" s="183"/>
      <c r="AE846" s="154"/>
      <c r="AF846" s="154"/>
      <c r="AG846" s="154"/>
      <c r="AH846" s="154"/>
      <c r="AI846" s="154"/>
      <c r="AJ846" s="154"/>
      <c r="AK846" s="154"/>
      <c r="AL846" s="154"/>
      <c r="AM846" s="154"/>
      <c r="AN846" s="154"/>
      <c r="AO846" s="154"/>
      <c r="AP846" s="183"/>
      <c r="AQ846" s="154"/>
      <c r="AR846" s="154"/>
      <c r="AS846" s="154"/>
    </row>
    <row r="847" customFormat="false" ht="15" hidden="false" customHeight="false" outlineLevel="0" collapsed="false">
      <c r="A847" s="29"/>
      <c r="B847" s="180"/>
      <c r="C847" s="185"/>
      <c r="D847" s="149"/>
      <c r="E847" s="149"/>
      <c r="F847" s="149"/>
      <c r="G847" s="149"/>
      <c r="H847" s="182"/>
      <c r="I847" s="182"/>
      <c r="J847" s="182"/>
      <c r="K847" s="182"/>
      <c r="L847" s="182"/>
      <c r="M847" s="182"/>
      <c r="N847" s="182"/>
      <c r="O847" s="182"/>
      <c r="P847" s="182"/>
      <c r="Q847" s="182"/>
      <c r="R847" s="182"/>
      <c r="S847" s="182"/>
      <c r="T847" s="182"/>
      <c r="U847" s="182"/>
      <c r="V847" s="182"/>
      <c r="W847" s="182"/>
      <c r="X847" s="182"/>
      <c r="Y847" s="141"/>
      <c r="Z847" s="152"/>
      <c r="AA847" s="143"/>
      <c r="AB847" s="154"/>
      <c r="AC847" s="183"/>
      <c r="AD847" s="183"/>
      <c r="AE847" s="154"/>
      <c r="AF847" s="154"/>
      <c r="AG847" s="154"/>
      <c r="AH847" s="154"/>
      <c r="AI847" s="154"/>
      <c r="AJ847" s="154"/>
      <c r="AK847" s="154"/>
      <c r="AL847" s="154"/>
      <c r="AM847" s="154"/>
      <c r="AN847" s="154"/>
      <c r="AO847" s="154"/>
      <c r="AP847" s="183"/>
      <c r="AQ847" s="154"/>
      <c r="AR847" s="154"/>
      <c r="AS847" s="154"/>
    </row>
    <row r="848" customFormat="false" ht="15" hidden="false" customHeight="false" outlineLevel="0" collapsed="false">
      <c r="A848" s="29"/>
      <c r="B848" s="180"/>
      <c r="C848" s="181"/>
      <c r="D848" s="149"/>
      <c r="E848" s="149"/>
      <c r="F848" s="149"/>
      <c r="G848" s="149"/>
      <c r="H848" s="182"/>
      <c r="I848" s="182"/>
      <c r="J848" s="182"/>
      <c r="K848" s="182"/>
      <c r="L848" s="182"/>
      <c r="M848" s="182"/>
      <c r="N848" s="182"/>
      <c r="O848" s="182"/>
      <c r="P848" s="182"/>
      <c r="Q848" s="182"/>
      <c r="R848" s="182"/>
      <c r="S848" s="182"/>
      <c r="T848" s="182"/>
      <c r="U848" s="182"/>
      <c r="V848" s="182"/>
      <c r="W848" s="182"/>
      <c r="X848" s="182"/>
      <c r="Y848" s="141"/>
      <c r="Z848" s="152"/>
      <c r="AA848" s="143"/>
      <c r="AB848" s="153"/>
      <c r="AC848" s="183"/>
      <c r="AD848" s="183"/>
      <c r="AE848" s="154"/>
      <c r="AF848" s="154"/>
      <c r="AG848" s="154"/>
      <c r="AH848" s="154"/>
      <c r="AI848" s="154"/>
      <c r="AJ848" s="154"/>
      <c r="AK848" s="154"/>
      <c r="AL848" s="154"/>
      <c r="AM848" s="154"/>
      <c r="AN848" s="154"/>
      <c r="AO848" s="154"/>
      <c r="AP848" s="183"/>
      <c r="AQ848" s="154"/>
      <c r="AR848" s="154"/>
      <c r="AS848" s="154"/>
    </row>
    <row r="849" customFormat="false" ht="15" hidden="false" customHeight="false" outlineLevel="0" collapsed="false">
      <c r="A849" s="29"/>
      <c r="B849" s="180"/>
      <c r="C849" s="184"/>
      <c r="D849" s="149"/>
      <c r="E849" s="149"/>
      <c r="F849" s="149"/>
      <c r="G849" s="149"/>
      <c r="H849" s="182"/>
      <c r="I849" s="182"/>
      <c r="J849" s="182"/>
      <c r="K849" s="182"/>
      <c r="L849" s="182"/>
      <c r="M849" s="182"/>
      <c r="N849" s="182"/>
      <c r="O849" s="182"/>
      <c r="P849" s="182"/>
      <c r="Q849" s="182"/>
      <c r="R849" s="182"/>
      <c r="S849" s="182"/>
      <c r="T849" s="182"/>
      <c r="U849" s="182"/>
      <c r="V849" s="182"/>
      <c r="W849" s="182"/>
      <c r="X849" s="182"/>
      <c r="Y849" s="141"/>
      <c r="Z849" s="152"/>
      <c r="AA849" s="143"/>
      <c r="AB849" s="154"/>
      <c r="AC849" s="183"/>
      <c r="AD849" s="183"/>
      <c r="AE849" s="154"/>
      <c r="AF849" s="154"/>
      <c r="AG849" s="154"/>
      <c r="AH849" s="154"/>
      <c r="AI849" s="154"/>
      <c r="AJ849" s="154"/>
      <c r="AK849" s="154"/>
      <c r="AL849" s="154"/>
      <c r="AM849" s="154"/>
      <c r="AN849" s="154"/>
      <c r="AO849" s="154"/>
      <c r="AP849" s="183"/>
      <c r="AQ849" s="154"/>
      <c r="AR849" s="154"/>
      <c r="AS849" s="154"/>
    </row>
    <row r="850" customFormat="false" ht="15" hidden="false" customHeight="false" outlineLevel="0" collapsed="false">
      <c r="A850" s="29"/>
      <c r="B850" s="180"/>
      <c r="C850" s="185"/>
      <c r="D850" s="149"/>
      <c r="E850" s="149"/>
      <c r="F850" s="149"/>
      <c r="G850" s="149"/>
      <c r="H850" s="182"/>
      <c r="I850" s="182"/>
      <c r="J850" s="182"/>
      <c r="K850" s="182"/>
      <c r="L850" s="182"/>
      <c r="M850" s="182"/>
      <c r="N850" s="182"/>
      <c r="O850" s="182"/>
      <c r="P850" s="182"/>
      <c r="Q850" s="182"/>
      <c r="R850" s="182"/>
      <c r="S850" s="182"/>
      <c r="T850" s="182"/>
      <c r="U850" s="182"/>
      <c r="V850" s="182"/>
      <c r="W850" s="182"/>
      <c r="X850" s="182"/>
      <c r="Y850" s="141"/>
      <c r="Z850" s="152"/>
      <c r="AA850" s="143"/>
      <c r="AB850" s="154"/>
      <c r="AC850" s="183"/>
      <c r="AD850" s="183"/>
      <c r="AE850" s="154"/>
      <c r="AF850" s="154"/>
      <c r="AG850" s="154"/>
      <c r="AH850" s="154"/>
      <c r="AI850" s="154"/>
      <c r="AJ850" s="154"/>
      <c r="AK850" s="154"/>
      <c r="AL850" s="154"/>
      <c r="AM850" s="154"/>
      <c r="AN850" s="154"/>
      <c r="AO850" s="154"/>
      <c r="AP850" s="183"/>
      <c r="AQ850" s="154"/>
      <c r="AR850" s="154"/>
      <c r="AS850" s="154"/>
    </row>
    <row r="851" customFormat="false" ht="15" hidden="false" customHeight="false" outlineLevel="0" collapsed="false">
      <c r="A851" s="29"/>
      <c r="B851" s="180"/>
      <c r="C851" s="181"/>
      <c r="D851" s="149"/>
      <c r="E851" s="149"/>
      <c r="F851" s="149"/>
      <c r="G851" s="149"/>
      <c r="H851" s="182"/>
      <c r="I851" s="182"/>
      <c r="J851" s="182"/>
      <c r="K851" s="182"/>
      <c r="L851" s="182"/>
      <c r="M851" s="182"/>
      <c r="N851" s="182"/>
      <c r="O851" s="182"/>
      <c r="P851" s="182"/>
      <c r="Q851" s="182"/>
      <c r="R851" s="182"/>
      <c r="S851" s="182"/>
      <c r="T851" s="182"/>
      <c r="U851" s="182"/>
      <c r="V851" s="182"/>
      <c r="W851" s="182"/>
      <c r="X851" s="182"/>
      <c r="Y851" s="141"/>
      <c r="Z851" s="152"/>
      <c r="AA851" s="143"/>
      <c r="AB851" s="154"/>
      <c r="AC851" s="183"/>
      <c r="AD851" s="183"/>
      <c r="AE851" s="154"/>
      <c r="AF851" s="154"/>
      <c r="AG851" s="154"/>
      <c r="AH851" s="154"/>
      <c r="AI851" s="154"/>
      <c r="AJ851" s="154"/>
      <c r="AK851" s="154"/>
      <c r="AL851" s="154"/>
      <c r="AM851" s="154"/>
      <c r="AN851" s="154"/>
      <c r="AO851" s="154"/>
      <c r="AP851" s="183"/>
      <c r="AQ851" s="154"/>
      <c r="AR851" s="154"/>
      <c r="AS851" s="154"/>
    </row>
    <row r="852" customFormat="false" ht="15" hidden="false" customHeight="false" outlineLevel="0" collapsed="false">
      <c r="A852" s="29"/>
      <c r="B852" s="180"/>
      <c r="C852" s="184"/>
      <c r="D852" s="149"/>
      <c r="E852" s="149"/>
      <c r="F852" s="149"/>
      <c r="G852" s="149"/>
      <c r="H852" s="182"/>
      <c r="I852" s="182"/>
      <c r="J852" s="182"/>
      <c r="K852" s="182"/>
      <c r="L852" s="182"/>
      <c r="M852" s="182"/>
      <c r="N852" s="182"/>
      <c r="O852" s="182"/>
      <c r="P852" s="182"/>
      <c r="Q852" s="182"/>
      <c r="R852" s="182"/>
      <c r="S852" s="182"/>
      <c r="T852" s="182"/>
      <c r="U852" s="182"/>
      <c r="V852" s="182"/>
      <c r="W852" s="182"/>
      <c r="X852" s="182"/>
      <c r="Y852" s="141"/>
      <c r="Z852" s="152"/>
      <c r="AA852" s="143"/>
      <c r="AB852" s="154"/>
      <c r="AC852" s="183"/>
      <c r="AD852" s="183"/>
      <c r="AE852" s="154"/>
      <c r="AF852" s="154"/>
      <c r="AG852" s="154"/>
      <c r="AH852" s="154"/>
      <c r="AI852" s="154"/>
      <c r="AJ852" s="154"/>
      <c r="AK852" s="154"/>
      <c r="AL852" s="154"/>
      <c r="AM852" s="154"/>
      <c r="AN852" s="154"/>
      <c r="AO852" s="154"/>
      <c r="AP852" s="183"/>
      <c r="AQ852" s="154"/>
      <c r="AR852" s="154"/>
      <c r="AS852" s="154"/>
    </row>
    <row r="853" customFormat="false" ht="15" hidden="false" customHeight="false" outlineLevel="0" collapsed="false">
      <c r="A853" s="29"/>
      <c r="B853" s="180"/>
      <c r="C853" s="185"/>
      <c r="D853" s="149"/>
      <c r="E853" s="149"/>
      <c r="F853" s="149"/>
      <c r="G853" s="149"/>
      <c r="H853" s="182"/>
      <c r="I853" s="182"/>
      <c r="J853" s="182"/>
      <c r="K853" s="182"/>
      <c r="L853" s="182"/>
      <c r="M853" s="182"/>
      <c r="N853" s="182"/>
      <c r="O853" s="182"/>
      <c r="P853" s="143"/>
      <c r="Q853" s="143"/>
      <c r="R853" s="143"/>
      <c r="S853" s="182"/>
      <c r="T853" s="182"/>
      <c r="U853" s="182"/>
      <c r="V853" s="182"/>
      <c r="W853" s="182"/>
      <c r="X853" s="182"/>
      <c r="Y853" s="141"/>
      <c r="Z853" s="152"/>
      <c r="AA853" s="143"/>
      <c r="AB853" s="154"/>
      <c r="AC853" s="183"/>
      <c r="AD853" s="183"/>
      <c r="AE853" s="154"/>
      <c r="AF853" s="154"/>
      <c r="AG853" s="154"/>
      <c r="AH853" s="154"/>
      <c r="AI853" s="154"/>
      <c r="AJ853" s="154"/>
      <c r="AK853" s="154"/>
      <c r="AL853" s="154"/>
      <c r="AM853" s="154"/>
      <c r="AN853" s="154"/>
      <c r="AO853" s="154"/>
      <c r="AP853" s="183"/>
      <c r="AQ853" s="154"/>
      <c r="AR853" s="154"/>
      <c r="AS853" s="154"/>
    </row>
    <row r="854" customFormat="false" ht="15" hidden="false" customHeight="false" outlineLevel="0" collapsed="false">
      <c r="A854" s="29"/>
      <c r="B854" s="180"/>
      <c r="C854" s="181"/>
      <c r="D854" s="149"/>
      <c r="E854" s="149"/>
      <c r="F854" s="149"/>
      <c r="G854" s="149"/>
      <c r="H854" s="182"/>
      <c r="I854" s="182"/>
      <c r="J854" s="182"/>
      <c r="K854" s="182"/>
      <c r="L854" s="182"/>
      <c r="M854" s="182"/>
      <c r="N854" s="182"/>
      <c r="O854" s="182"/>
      <c r="P854" s="143"/>
      <c r="Q854" s="143"/>
      <c r="R854" s="143"/>
      <c r="S854" s="182"/>
      <c r="T854" s="182"/>
      <c r="U854" s="182"/>
      <c r="V854" s="182"/>
      <c r="W854" s="182"/>
      <c r="X854" s="182"/>
      <c r="Y854" s="141"/>
      <c r="Z854" s="152"/>
      <c r="AA854" s="143"/>
      <c r="AB854" s="153"/>
      <c r="AC854" s="183"/>
      <c r="AD854" s="183"/>
      <c r="AE854" s="154"/>
      <c r="AF854" s="154"/>
      <c r="AG854" s="154"/>
      <c r="AH854" s="154"/>
      <c r="AI854" s="154"/>
      <c r="AJ854" s="154"/>
      <c r="AK854" s="154"/>
      <c r="AL854" s="154"/>
      <c r="AM854" s="154"/>
      <c r="AN854" s="154"/>
      <c r="AO854" s="154"/>
      <c r="AP854" s="183"/>
      <c r="AQ854" s="154"/>
      <c r="AR854" s="154"/>
      <c r="AS854" s="154"/>
    </row>
    <row r="855" customFormat="false" ht="15" hidden="false" customHeight="false" outlineLevel="0" collapsed="false">
      <c r="A855" s="29"/>
      <c r="B855" s="180"/>
      <c r="C855" s="184"/>
      <c r="D855" s="149"/>
      <c r="E855" s="149"/>
      <c r="F855" s="149"/>
      <c r="G855" s="149"/>
      <c r="H855" s="182"/>
      <c r="I855" s="182"/>
      <c r="J855" s="182"/>
      <c r="K855" s="182"/>
      <c r="L855" s="182"/>
      <c r="M855" s="182"/>
      <c r="N855" s="182"/>
      <c r="O855" s="182"/>
      <c r="P855" s="143"/>
      <c r="Q855" s="143"/>
      <c r="R855" s="143"/>
      <c r="S855" s="182"/>
      <c r="T855" s="182"/>
      <c r="U855" s="182"/>
      <c r="V855" s="182"/>
      <c r="W855" s="182"/>
      <c r="X855" s="182"/>
      <c r="Y855" s="141"/>
      <c r="Z855" s="152"/>
      <c r="AA855" s="143"/>
      <c r="AB855" s="154"/>
      <c r="AC855" s="183"/>
      <c r="AD855" s="183"/>
      <c r="AE855" s="154"/>
      <c r="AF855" s="154"/>
      <c r="AG855" s="154"/>
      <c r="AH855" s="154"/>
      <c r="AI855" s="154"/>
      <c r="AJ855" s="154"/>
      <c r="AK855" s="154"/>
      <c r="AL855" s="154"/>
      <c r="AM855" s="154"/>
      <c r="AN855" s="154"/>
      <c r="AO855" s="154"/>
      <c r="AP855" s="183"/>
      <c r="AQ855" s="154"/>
      <c r="AR855" s="154"/>
      <c r="AS855" s="154"/>
    </row>
    <row r="856" customFormat="false" ht="15" hidden="false" customHeight="false" outlineLevel="0" collapsed="false">
      <c r="A856" s="29"/>
      <c r="B856" s="180"/>
      <c r="C856" s="185"/>
      <c r="D856" s="149"/>
      <c r="E856" s="149"/>
      <c r="F856" s="149"/>
      <c r="G856" s="149"/>
      <c r="H856" s="182"/>
      <c r="I856" s="182"/>
      <c r="J856" s="182"/>
      <c r="K856" s="182"/>
      <c r="L856" s="182"/>
      <c r="M856" s="182"/>
      <c r="N856" s="182"/>
      <c r="O856" s="182"/>
      <c r="P856" s="143"/>
      <c r="Q856" s="143"/>
      <c r="R856" s="143"/>
      <c r="S856" s="182"/>
      <c r="T856" s="182"/>
      <c r="U856" s="182"/>
      <c r="V856" s="182"/>
      <c r="W856" s="182"/>
      <c r="X856" s="182"/>
      <c r="Y856" s="141"/>
      <c r="Z856" s="152"/>
      <c r="AA856" s="143"/>
      <c r="AB856" s="154"/>
      <c r="AC856" s="183"/>
      <c r="AD856" s="183"/>
      <c r="AE856" s="154"/>
      <c r="AF856" s="154"/>
      <c r="AG856" s="154"/>
      <c r="AH856" s="154"/>
      <c r="AI856" s="154"/>
      <c r="AJ856" s="154"/>
      <c r="AK856" s="154"/>
      <c r="AL856" s="154"/>
      <c r="AM856" s="154"/>
      <c r="AN856" s="154"/>
      <c r="AO856" s="154"/>
      <c r="AP856" s="183"/>
      <c r="AQ856" s="154"/>
      <c r="AR856" s="154"/>
      <c r="AS856" s="154"/>
    </row>
    <row r="857" customFormat="false" ht="15" hidden="false" customHeight="false" outlineLevel="0" collapsed="false">
      <c r="A857" s="29"/>
      <c r="B857" s="180"/>
      <c r="C857" s="181"/>
      <c r="D857" s="149"/>
      <c r="E857" s="149"/>
      <c r="F857" s="149"/>
      <c r="G857" s="149"/>
      <c r="H857" s="182"/>
      <c r="I857" s="182"/>
      <c r="J857" s="182"/>
      <c r="K857" s="182"/>
      <c r="L857" s="182"/>
      <c r="M857" s="182"/>
      <c r="N857" s="182"/>
      <c r="O857" s="182"/>
      <c r="P857" s="143"/>
      <c r="Q857" s="143"/>
      <c r="R857" s="143"/>
      <c r="S857" s="182"/>
      <c r="T857" s="182"/>
      <c r="U857" s="182"/>
      <c r="V857" s="182"/>
      <c r="W857" s="182"/>
      <c r="X857" s="182"/>
      <c r="Y857" s="141"/>
      <c r="Z857" s="152"/>
      <c r="AA857" s="143"/>
      <c r="AB857" s="153"/>
      <c r="AC857" s="183"/>
      <c r="AD857" s="183"/>
      <c r="AE857" s="154"/>
      <c r="AF857" s="154"/>
      <c r="AG857" s="154"/>
      <c r="AH857" s="154"/>
      <c r="AI857" s="154"/>
      <c r="AJ857" s="154"/>
      <c r="AK857" s="154"/>
      <c r="AL857" s="154"/>
      <c r="AM857" s="154"/>
      <c r="AN857" s="154"/>
      <c r="AO857" s="154"/>
      <c r="AP857" s="183"/>
      <c r="AQ857" s="154"/>
      <c r="AR857" s="154"/>
      <c r="AS857" s="154"/>
    </row>
    <row r="858" customFormat="false" ht="15" hidden="false" customHeight="false" outlineLevel="0" collapsed="false">
      <c r="A858" s="29"/>
      <c r="B858" s="180"/>
      <c r="C858" s="184"/>
      <c r="D858" s="149"/>
      <c r="E858" s="149"/>
      <c r="F858" s="149"/>
      <c r="G858" s="149"/>
      <c r="H858" s="182"/>
      <c r="I858" s="182"/>
      <c r="J858" s="182"/>
      <c r="K858" s="182"/>
      <c r="L858" s="182"/>
      <c r="M858" s="182"/>
      <c r="N858" s="182"/>
      <c r="O858" s="182"/>
      <c r="P858" s="143"/>
      <c r="Q858" s="143"/>
      <c r="R858" s="143"/>
      <c r="S858" s="182"/>
      <c r="T858" s="182"/>
      <c r="U858" s="182"/>
      <c r="V858" s="182"/>
      <c r="W858" s="182"/>
      <c r="X858" s="182"/>
      <c r="Y858" s="141"/>
      <c r="Z858" s="152"/>
      <c r="AA858" s="143"/>
      <c r="AB858" s="154"/>
      <c r="AC858" s="183"/>
      <c r="AD858" s="183"/>
      <c r="AE858" s="154"/>
      <c r="AF858" s="154"/>
      <c r="AG858" s="154"/>
      <c r="AH858" s="154"/>
      <c r="AI858" s="154"/>
      <c r="AJ858" s="154"/>
      <c r="AK858" s="154"/>
      <c r="AL858" s="154"/>
      <c r="AM858" s="154"/>
      <c r="AN858" s="154"/>
      <c r="AO858" s="154"/>
      <c r="AP858" s="183"/>
      <c r="AQ858" s="154"/>
      <c r="AR858" s="154"/>
      <c r="AS858" s="154"/>
    </row>
    <row r="859" customFormat="false" ht="15" hidden="false" customHeight="false" outlineLevel="0" collapsed="false">
      <c r="A859" s="29"/>
      <c r="B859" s="180"/>
      <c r="C859" s="185"/>
      <c r="D859" s="149"/>
      <c r="E859" s="149"/>
      <c r="F859" s="149"/>
      <c r="G859" s="149"/>
      <c r="H859" s="182"/>
      <c r="I859" s="182"/>
      <c r="J859" s="182"/>
      <c r="K859" s="182"/>
      <c r="L859" s="182"/>
      <c r="M859" s="182"/>
      <c r="N859" s="182"/>
      <c r="O859" s="182"/>
      <c r="P859" s="143"/>
      <c r="Q859" s="143"/>
      <c r="R859" s="143"/>
      <c r="S859" s="182"/>
      <c r="T859" s="182"/>
      <c r="U859" s="182"/>
      <c r="V859" s="182"/>
      <c r="W859" s="182"/>
      <c r="X859" s="182"/>
      <c r="Y859" s="141"/>
      <c r="Z859" s="152"/>
      <c r="AA859" s="143"/>
      <c r="AB859" s="154"/>
      <c r="AC859" s="183"/>
      <c r="AD859" s="183"/>
      <c r="AE859" s="154"/>
      <c r="AF859" s="154"/>
      <c r="AG859" s="154"/>
      <c r="AH859" s="154"/>
      <c r="AI859" s="154"/>
      <c r="AJ859" s="154"/>
      <c r="AK859" s="154"/>
      <c r="AL859" s="154"/>
      <c r="AM859" s="154"/>
      <c r="AN859" s="154"/>
      <c r="AO859" s="154"/>
      <c r="AP859" s="183"/>
      <c r="AQ859" s="154"/>
      <c r="AR859" s="154"/>
      <c r="AS859" s="154"/>
    </row>
    <row r="860" customFormat="false" ht="15" hidden="false" customHeight="false" outlineLevel="0" collapsed="false">
      <c r="A860" s="29"/>
      <c r="B860" s="180"/>
      <c r="C860" s="181"/>
      <c r="D860" s="149"/>
      <c r="E860" s="149"/>
      <c r="F860" s="149"/>
      <c r="G860" s="149"/>
      <c r="H860" s="182"/>
      <c r="I860" s="182"/>
      <c r="J860" s="182"/>
      <c r="K860" s="182"/>
      <c r="L860" s="182"/>
      <c r="M860" s="182"/>
      <c r="N860" s="182"/>
      <c r="O860" s="182"/>
      <c r="P860" s="143"/>
      <c r="Q860" s="143"/>
      <c r="R860" s="143"/>
      <c r="S860" s="182"/>
      <c r="T860" s="182"/>
      <c r="U860" s="182"/>
      <c r="V860" s="182"/>
      <c r="W860" s="182"/>
      <c r="X860" s="182"/>
      <c r="Y860" s="141"/>
      <c r="Z860" s="152"/>
      <c r="AA860" s="143"/>
      <c r="AB860" s="153"/>
      <c r="AC860" s="183"/>
      <c r="AD860" s="183"/>
      <c r="AE860" s="154"/>
      <c r="AF860" s="154"/>
      <c r="AG860" s="154"/>
      <c r="AH860" s="154"/>
      <c r="AI860" s="154"/>
      <c r="AJ860" s="154"/>
      <c r="AK860" s="154"/>
      <c r="AL860" s="154"/>
      <c r="AM860" s="154"/>
      <c r="AN860" s="154"/>
      <c r="AO860" s="154"/>
      <c r="AP860" s="183"/>
      <c r="AQ860" s="154"/>
      <c r="AR860" s="154"/>
      <c r="AS860" s="154"/>
    </row>
    <row r="861" customFormat="false" ht="15" hidden="false" customHeight="false" outlineLevel="0" collapsed="false">
      <c r="A861" s="29"/>
      <c r="B861" s="180"/>
      <c r="C861" s="184"/>
      <c r="D861" s="149"/>
      <c r="E861" s="149"/>
      <c r="F861" s="149"/>
      <c r="G861" s="149"/>
      <c r="H861" s="182"/>
      <c r="I861" s="182"/>
      <c r="J861" s="182"/>
      <c r="K861" s="182"/>
      <c r="L861" s="182"/>
      <c r="M861" s="182"/>
      <c r="N861" s="182"/>
      <c r="O861" s="182"/>
      <c r="P861" s="143"/>
      <c r="Q861" s="143"/>
      <c r="R861" s="143"/>
      <c r="S861" s="182"/>
      <c r="T861" s="182"/>
      <c r="U861" s="182"/>
      <c r="V861" s="182"/>
      <c r="W861" s="182"/>
      <c r="X861" s="182"/>
      <c r="Y861" s="141"/>
      <c r="Z861" s="152"/>
      <c r="AA861" s="143"/>
      <c r="AB861" s="154"/>
      <c r="AC861" s="183"/>
      <c r="AD861" s="183"/>
      <c r="AE861" s="154"/>
      <c r="AF861" s="154"/>
      <c r="AG861" s="154"/>
      <c r="AH861" s="154"/>
      <c r="AI861" s="154"/>
      <c r="AJ861" s="154"/>
      <c r="AK861" s="154"/>
      <c r="AL861" s="154"/>
      <c r="AM861" s="154"/>
      <c r="AN861" s="154"/>
      <c r="AO861" s="154"/>
      <c r="AP861" s="183"/>
      <c r="AQ861" s="154"/>
      <c r="AR861" s="154"/>
      <c r="AS861" s="154"/>
    </row>
    <row r="862" customFormat="false" ht="15" hidden="false" customHeight="false" outlineLevel="0" collapsed="false">
      <c r="A862" s="29"/>
      <c r="B862" s="180"/>
      <c r="C862" s="185"/>
      <c r="D862" s="149"/>
      <c r="E862" s="149"/>
      <c r="F862" s="149"/>
      <c r="G862" s="149"/>
      <c r="H862" s="182"/>
      <c r="I862" s="182"/>
      <c r="J862" s="182"/>
      <c r="K862" s="182"/>
      <c r="L862" s="182"/>
      <c r="M862" s="182"/>
      <c r="N862" s="182"/>
      <c r="O862" s="182"/>
      <c r="P862" s="143"/>
      <c r="Q862" s="143"/>
      <c r="R862" s="143"/>
      <c r="S862" s="182"/>
      <c r="T862" s="182"/>
      <c r="U862" s="182"/>
      <c r="V862" s="182"/>
      <c r="W862" s="182"/>
      <c r="X862" s="182"/>
      <c r="Y862" s="141"/>
      <c r="Z862" s="152"/>
      <c r="AA862" s="143"/>
      <c r="AB862" s="154"/>
      <c r="AC862" s="183"/>
      <c r="AD862" s="183"/>
      <c r="AE862" s="154"/>
      <c r="AF862" s="154"/>
      <c r="AG862" s="154"/>
      <c r="AH862" s="154"/>
      <c r="AI862" s="154"/>
      <c r="AJ862" s="154"/>
      <c r="AK862" s="154"/>
      <c r="AL862" s="154"/>
      <c r="AM862" s="154"/>
      <c r="AN862" s="154"/>
      <c r="AO862" s="154"/>
      <c r="AP862" s="183"/>
      <c r="AQ862" s="154"/>
      <c r="AR862" s="154"/>
      <c r="AS862" s="154"/>
    </row>
    <row r="863" customFormat="false" ht="15" hidden="false" customHeight="false" outlineLevel="0" collapsed="false">
      <c r="A863" s="29"/>
      <c r="B863" s="180"/>
      <c r="C863" s="181"/>
      <c r="D863" s="149"/>
      <c r="E863" s="149"/>
      <c r="F863" s="149"/>
      <c r="G863" s="149"/>
      <c r="H863" s="166"/>
      <c r="I863" s="166"/>
      <c r="J863" s="166"/>
      <c r="K863" s="166"/>
      <c r="L863" s="166"/>
      <c r="M863" s="166"/>
      <c r="N863" s="166"/>
      <c r="O863" s="166"/>
      <c r="P863" s="154"/>
      <c r="Q863" s="154"/>
      <c r="R863" s="154"/>
      <c r="S863" s="166"/>
      <c r="T863" s="166"/>
      <c r="U863" s="166"/>
      <c r="V863" s="166"/>
      <c r="W863" s="166"/>
      <c r="X863" s="166"/>
      <c r="Y863" s="150"/>
      <c r="Z863" s="152"/>
      <c r="AA863" s="143"/>
      <c r="AB863" s="153"/>
      <c r="AC863" s="183"/>
      <c r="AD863" s="183"/>
      <c r="AE863" s="154"/>
      <c r="AF863" s="154"/>
      <c r="AG863" s="154"/>
      <c r="AH863" s="154"/>
      <c r="AI863" s="154"/>
      <c r="AJ863" s="154"/>
      <c r="AK863" s="154"/>
      <c r="AL863" s="154"/>
      <c r="AM863" s="154"/>
      <c r="AN863" s="154"/>
      <c r="AO863" s="154"/>
      <c r="AP863" s="183"/>
      <c r="AQ863" s="154"/>
      <c r="AR863" s="154"/>
      <c r="AS863" s="154"/>
    </row>
    <row r="864" customFormat="false" ht="15" hidden="false" customHeight="false" outlineLevel="0" collapsed="false">
      <c r="A864" s="29"/>
      <c r="B864" s="180"/>
      <c r="C864" s="184"/>
      <c r="D864" s="149"/>
      <c r="E864" s="149"/>
      <c r="F864" s="149"/>
      <c r="G864" s="149"/>
      <c r="H864" s="166"/>
      <c r="I864" s="166"/>
      <c r="J864" s="166"/>
      <c r="K864" s="166"/>
      <c r="L864" s="166"/>
      <c r="M864" s="166"/>
      <c r="N864" s="166"/>
      <c r="O864" s="166"/>
      <c r="P864" s="154"/>
      <c r="Q864" s="154"/>
      <c r="R864" s="154"/>
      <c r="S864" s="166"/>
      <c r="T864" s="166"/>
      <c r="U864" s="166"/>
      <c r="V864" s="166"/>
      <c r="W864" s="166"/>
      <c r="X864" s="166"/>
      <c r="Y864" s="150"/>
      <c r="Z864" s="152"/>
      <c r="AA864" s="143"/>
      <c r="AB864" s="154"/>
      <c r="AC864" s="183"/>
      <c r="AD864" s="183"/>
      <c r="AE864" s="154"/>
      <c r="AF864" s="154"/>
      <c r="AG864" s="154"/>
      <c r="AH864" s="154"/>
      <c r="AI864" s="154"/>
      <c r="AJ864" s="154"/>
      <c r="AK864" s="154"/>
      <c r="AL864" s="154"/>
      <c r="AM864" s="154"/>
      <c r="AN864" s="154"/>
      <c r="AO864" s="154"/>
      <c r="AP864" s="183"/>
      <c r="AQ864" s="154"/>
      <c r="AR864" s="154"/>
      <c r="AS864" s="154"/>
    </row>
    <row r="865" customFormat="false" ht="15" hidden="false" customHeight="false" outlineLevel="0" collapsed="false">
      <c r="A865" s="29"/>
      <c r="B865" s="180"/>
      <c r="C865" s="185"/>
      <c r="D865" s="149"/>
      <c r="E865" s="149"/>
      <c r="F865" s="149"/>
      <c r="G865" s="149"/>
      <c r="H865" s="166"/>
      <c r="I865" s="166"/>
      <c r="J865" s="166"/>
      <c r="K865" s="166"/>
      <c r="L865" s="166"/>
      <c r="M865" s="166"/>
      <c r="N865" s="166"/>
      <c r="O865" s="166"/>
      <c r="P865" s="154"/>
      <c r="Q865" s="154"/>
      <c r="R865" s="154"/>
      <c r="S865" s="166"/>
      <c r="T865" s="166"/>
      <c r="U865" s="166"/>
      <c r="V865" s="166"/>
      <c r="W865" s="166"/>
      <c r="X865" s="166"/>
      <c r="Y865" s="150"/>
      <c r="Z865" s="152"/>
      <c r="AA865" s="143"/>
      <c r="AB865" s="154"/>
      <c r="AC865" s="183"/>
      <c r="AD865" s="183"/>
      <c r="AE865" s="154"/>
      <c r="AF865" s="154"/>
      <c r="AG865" s="154"/>
      <c r="AH865" s="154"/>
      <c r="AI865" s="154"/>
      <c r="AJ865" s="154"/>
      <c r="AK865" s="154"/>
      <c r="AL865" s="154"/>
      <c r="AM865" s="154"/>
      <c r="AN865" s="154"/>
      <c r="AO865" s="154"/>
      <c r="AP865" s="183"/>
      <c r="AQ865" s="154"/>
      <c r="AR865" s="154"/>
      <c r="AS865" s="154"/>
    </row>
    <row r="866" customFormat="false" ht="15" hidden="false" customHeight="false" outlineLevel="0" collapsed="false">
      <c r="A866" s="29"/>
      <c r="B866" s="180"/>
      <c r="C866" s="181"/>
      <c r="D866" s="149"/>
      <c r="E866" s="149"/>
      <c r="F866" s="149"/>
      <c r="G866" s="149"/>
      <c r="H866" s="166"/>
      <c r="I866" s="166"/>
      <c r="J866" s="166"/>
      <c r="K866" s="166"/>
      <c r="L866" s="166"/>
      <c r="M866" s="166"/>
      <c r="N866" s="166"/>
      <c r="O866" s="166"/>
      <c r="P866" s="154"/>
      <c r="Q866" s="154"/>
      <c r="R866" s="154"/>
      <c r="S866" s="166"/>
      <c r="T866" s="166"/>
      <c r="U866" s="166"/>
      <c r="V866" s="166"/>
      <c r="W866" s="166"/>
      <c r="X866" s="166"/>
      <c r="Y866" s="150"/>
      <c r="Z866" s="152"/>
      <c r="AA866" s="143"/>
      <c r="AB866" s="153"/>
      <c r="AC866" s="183"/>
      <c r="AD866" s="183"/>
      <c r="AE866" s="154"/>
      <c r="AF866" s="154"/>
      <c r="AG866" s="154"/>
      <c r="AH866" s="154"/>
      <c r="AI866" s="154"/>
      <c r="AJ866" s="154"/>
      <c r="AK866" s="154"/>
      <c r="AL866" s="154"/>
      <c r="AM866" s="154"/>
      <c r="AN866" s="154"/>
      <c r="AO866" s="154"/>
      <c r="AP866" s="183"/>
      <c r="AQ866" s="154"/>
      <c r="AR866" s="154"/>
      <c r="AS866" s="154"/>
    </row>
    <row r="867" customFormat="false" ht="15" hidden="false" customHeight="false" outlineLevel="0" collapsed="false">
      <c r="A867" s="29"/>
      <c r="B867" s="180"/>
      <c r="C867" s="184"/>
      <c r="D867" s="149"/>
      <c r="E867" s="149"/>
      <c r="F867" s="149"/>
      <c r="G867" s="149"/>
      <c r="H867" s="166"/>
      <c r="I867" s="166"/>
      <c r="J867" s="166"/>
      <c r="K867" s="166"/>
      <c r="L867" s="166"/>
      <c r="M867" s="166"/>
      <c r="N867" s="166"/>
      <c r="O867" s="166"/>
      <c r="P867" s="154"/>
      <c r="Q867" s="154"/>
      <c r="R867" s="154"/>
      <c r="S867" s="166"/>
      <c r="T867" s="166"/>
      <c r="U867" s="166"/>
      <c r="V867" s="166"/>
      <c r="W867" s="166"/>
      <c r="X867" s="166"/>
      <c r="Y867" s="150"/>
      <c r="Z867" s="152"/>
      <c r="AA867" s="143"/>
      <c r="AB867" s="154"/>
      <c r="AC867" s="183"/>
      <c r="AD867" s="183"/>
      <c r="AE867" s="154"/>
      <c r="AF867" s="154"/>
      <c r="AG867" s="154"/>
      <c r="AH867" s="154"/>
      <c r="AI867" s="154"/>
      <c r="AJ867" s="154"/>
      <c r="AK867" s="154"/>
      <c r="AL867" s="154"/>
      <c r="AM867" s="154"/>
      <c r="AN867" s="154"/>
      <c r="AO867" s="154"/>
      <c r="AP867" s="183"/>
      <c r="AQ867" s="154"/>
      <c r="AR867" s="154"/>
      <c r="AS867" s="154"/>
    </row>
    <row r="868" customFormat="false" ht="15" hidden="false" customHeight="false" outlineLevel="0" collapsed="false">
      <c r="A868" s="29"/>
      <c r="B868" s="180"/>
      <c r="C868" s="185"/>
      <c r="D868" s="149"/>
      <c r="E868" s="149"/>
      <c r="F868" s="149"/>
      <c r="G868" s="149"/>
      <c r="H868" s="166"/>
      <c r="I868" s="166"/>
      <c r="J868" s="166"/>
      <c r="K868" s="166"/>
      <c r="L868" s="166"/>
      <c r="M868" s="166"/>
      <c r="N868" s="166"/>
      <c r="O868" s="166"/>
      <c r="P868" s="154"/>
      <c r="Q868" s="154"/>
      <c r="R868" s="154"/>
      <c r="S868" s="166"/>
      <c r="T868" s="166"/>
      <c r="U868" s="166"/>
      <c r="V868" s="166"/>
      <c r="W868" s="166"/>
      <c r="X868" s="166"/>
      <c r="Y868" s="150"/>
      <c r="Z868" s="152"/>
      <c r="AA868" s="143"/>
      <c r="AB868" s="154"/>
      <c r="AC868" s="183"/>
      <c r="AD868" s="183"/>
      <c r="AE868" s="154"/>
      <c r="AF868" s="154"/>
      <c r="AG868" s="154"/>
      <c r="AH868" s="154"/>
      <c r="AI868" s="154"/>
      <c r="AJ868" s="154"/>
      <c r="AK868" s="154"/>
      <c r="AL868" s="154"/>
      <c r="AM868" s="154"/>
      <c r="AN868" s="154"/>
      <c r="AO868" s="154"/>
      <c r="AP868" s="183"/>
      <c r="AQ868" s="154"/>
      <c r="AR868" s="154"/>
      <c r="AS868" s="154"/>
    </row>
    <row r="869" customFormat="false" ht="15" hidden="false" customHeight="false" outlineLevel="0" collapsed="false">
      <c r="A869" s="29"/>
      <c r="B869" s="180"/>
      <c r="C869" s="181"/>
      <c r="D869" s="149"/>
      <c r="E869" s="149"/>
      <c r="F869" s="149"/>
      <c r="G869" s="149"/>
      <c r="H869" s="166"/>
      <c r="I869" s="166"/>
      <c r="J869" s="166"/>
      <c r="K869" s="166"/>
      <c r="L869" s="166"/>
      <c r="M869" s="166"/>
      <c r="N869" s="166"/>
      <c r="O869" s="166"/>
      <c r="P869" s="154"/>
      <c r="Q869" s="154"/>
      <c r="R869" s="154"/>
      <c r="S869" s="166"/>
      <c r="T869" s="166"/>
      <c r="U869" s="166"/>
      <c r="V869" s="166"/>
      <c r="W869" s="166"/>
      <c r="X869" s="166"/>
      <c r="Y869" s="150"/>
      <c r="Z869" s="152"/>
      <c r="AA869" s="143"/>
      <c r="AB869" s="153"/>
      <c r="AC869" s="183"/>
      <c r="AD869" s="183"/>
      <c r="AE869" s="154"/>
      <c r="AF869" s="154"/>
      <c r="AG869" s="154"/>
      <c r="AH869" s="154"/>
      <c r="AI869" s="154"/>
      <c r="AJ869" s="154"/>
      <c r="AK869" s="154"/>
      <c r="AL869" s="154"/>
      <c r="AM869" s="154"/>
      <c r="AN869" s="154"/>
      <c r="AO869" s="154"/>
      <c r="AP869" s="183"/>
      <c r="AQ869" s="154"/>
      <c r="AR869" s="154"/>
      <c r="AS869" s="154"/>
    </row>
    <row r="870" customFormat="false" ht="15" hidden="false" customHeight="false" outlineLevel="0" collapsed="false">
      <c r="A870" s="29"/>
      <c r="B870" s="180"/>
      <c r="C870" s="184"/>
      <c r="D870" s="149"/>
      <c r="E870" s="149"/>
      <c r="F870" s="149"/>
      <c r="G870" s="149"/>
      <c r="H870" s="166"/>
      <c r="I870" s="166"/>
      <c r="J870" s="166"/>
      <c r="K870" s="166"/>
      <c r="L870" s="166"/>
      <c r="M870" s="166"/>
      <c r="N870" s="166"/>
      <c r="O870" s="166"/>
      <c r="P870" s="154"/>
      <c r="Q870" s="154"/>
      <c r="R870" s="154"/>
      <c r="S870" s="166"/>
      <c r="T870" s="166"/>
      <c r="U870" s="166"/>
      <c r="V870" s="166"/>
      <c r="W870" s="166"/>
      <c r="X870" s="166"/>
      <c r="Y870" s="150"/>
      <c r="Z870" s="152"/>
      <c r="AA870" s="143"/>
      <c r="AB870" s="154"/>
      <c r="AC870" s="183"/>
      <c r="AD870" s="183"/>
      <c r="AE870" s="154"/>
      <c r="AF870" s="154"/>
      <c r="AG870" s="154"/>
      <c r="AH870" s="154"/>
      <c r="AI870" s="154"/>
      <c r="AJ870" s="154"/>
      <c r="AK870" s="154"/>
      <c r="AL870" s="154"/>
      <c r="AM870" s="154"/>
      <c r="AN870" s="154"/>
      <c r="AO870" s="154"/>
      <c r="AP870" s="183"/>
      <c r="AQ870" s="154"/>
      <c r="AR870" s="154"/>
      <c r="AS870" s="154"/>
    </row>
    <row r="871" customFormat="false" ht="15" hidden="false" customHeight="false" outlineLevel="0" collapsed="false">
      <c r="A871" s="29"/>
      <c r="B871" s="180"/>
      <c r="C871" s="185"/>
      <c r="D871" s="149"/>
      <c r="E871" s="149"/>
      <c r="F871" s="149"/>
      <c r="G871" s="149"/>
      <c r="H871" s="166"/>
      <c r="I871" s="166"/>
      <c r="J871" s="166"/>
      <c r="K871" s="166"/>
      <c r="L871" s="166"/>
      <c r="M871" s="166"/>
      <c r="N871" s="166"/>
      <c r="O871" s="166"/>
      <c r="P871" s="154"/>
      <c r="Q871" s="154"/>
      <c r="R871" s="154"/>
      <c r="S871" s="166"/>
      <c r="T871" s="166"/>
      <c r="U871" s="166"/>
      <c r="V871" s="166"/>
      <c r="W871" s="166"/>
      <c r="X871" s="166"/>
      <c r="Y871" s="150"/>
      <c r="Z871" s="152"/>
      <c r="AA871" s="143"/>
      <c r="AB871" s="154"/>
      <c r="AC871" s="183"/>
      <c r="AD871" s="183"/>
      <c r="AE871" s="154"/>
      <c r="AF871" s="154"/>
      <c r="AG871" s="154"/>
      <c r="AH871" s="154"/>
      <c r="AI871" s="154"/>
      <c r="AJ871" s="154"/>
      <c r="AK871" s="154"/>
      <c r="AL871" s="154"/>
      <c r="AM871" s="154"/>
      <c r="AN871" s="154"/>
      <c r="AO871" s="154"/>
      <c r="AP871" s="183"/>
      <c r="AQ871" s="154"/>
      <c r="AR871" s="154"/>
      <c r="AS871" s="154"/>
    </row>
    <row r="872" customFormat="false" ht="15" hidden="false" customHeight="false" outlineLevel="0" collapsed="false">
      <c r="A872" s="29"/>
      <c r="B872" s="180"/>
      <c r="C872" s="181"/>
      <c r="D872" s="149"/>
      <c r="E872" s="149"/>
      <c r="F872" s="149"/>
      <c r="G872" s="149"/>
      <c r="H872" s="166"/>
      <c r="I872" s="166"/>
      <c r="J872" s="166"/>
      <c r="K872" s="166"/>
      <c r="L872" s="166"/>
      <c r="M872" s="166"/>
      <c r="N872" s="166"/>
      <c r="O872" s="166"/>
      <c r="P872" s="154"/>
      <c r="Q872" s="154"/>
      <c r="R872" s="154"/>
      <c r="S872" s="166"/>
      <c r="T872" s="166"/>
      <c r="U872" s="166"/>
      <c r="V872" s="166"/>
      <c r="W872" s="166"/>
      <c r="X872" s="166"/>
      <c r="Y872" s="150"/>
      <c r="Z872" s="152"/>
      <c r="AA872" s="143"/>
      <c r="AB872" s="153"/>
      <c r="AC872" s="183"/>
      <c r="AD872" s="183"/>
      <c r="AE872" s="154"/>
      <c r="AF872" s="154"/>
      <c r="AG872" s="154"/>
      <c r="AH872" s="154"/>
      <c r="AI872" s="154"/>
      <c r="AJ872" s="154"/>
      <c r="AK872" s="154"/>
      <c r="AL872" s="154"/>
      <c r="AM872" s="154"/>
      <c r="AN872" s="154"/>
      <c r="AO872" s="154"/>
      <c r="AP872" s="183"/>
      <c r="AQ872" s="154"/>
      <c r="AR872" s="154"/>
      <c r="AS872" s="154"/>
    </row>
    <row r="873" customFormat="false" ht="15" hidden="false" customHeight="false" outlineLevel="0" collapsed="false">
      <c r="A873" s="29"/>
      <c r="B873" s="180"/>
      <c r="C873" s="184"/>
      <c r="D873" s="149"/>
      <c r="E873" s="149"/>
      <c r="F873" s="149"/>
      <c r="G873" s="149"/>
      <c r="H873" s="166"/>
      <c r="I873" s="166"/>
      <c r="J873" s="166"/>
      <c r="K873" s="166"/>
      <c r="L873" s="166"/>
      <c r="M873" s="166"/>
      <c r="N873" s="166"/>
      <c r="O873" s="166"/>
      <c r="P873" s="154"/>
      <c r="Q873" s="154"/>
      <c r="R873" s="154"/>
      <c r="S873" s="166"/>
      <c r="T873" s="166"/>
      <c r="U873" s="166"/>
      <c r="V873" s="166"/>
      <c r="W873" s="166"/>
      <c r="X873" s="166"/>
      <c r="Y873" s="150"/>
      <c r="Z873" s="152"/>
      <c r="AA873" s="143"/>
      <c r="AB873" s="154"/>
      <c r="AC873" s="183"/>
      <c r="AD873" s="183"/>
      <c r="AE873" s="154"/>
      <c r="AF873" s="154"/>
      <c r="AG873" s="154"/>
      <c r="AH873" s="154"/>
      <c r="AI873" s="154"/>
      <c r="AJ873" s="154"/>
      <c r="AK873" s="154"/>
      <c r="AL873" s="154"/>
      <c r="AM873" s="154"/>
      <c r="AN873" s="154"/>
      <c r="AO873" s="154"/>
      <c r="AP873" s="183"/>
      <c r="AQ873" s="154"/>
      <c r="AR873" s="154"/>
      <c r="AS873" s="154"/>
    </row>
    <row r="874" customFormat="false" ht="15" hidden="false" customHeight="false" outlineLevel="0" collapsed="false">
      <c r="A874" s="29"/>
      <c r="B874" s="180"/>
      <c r="C874" s="185"/>
      <c r="D874" s="149"/>
      <c r="E874" s="149"/>
      <c r="F874" s="149"/>
      <c r="G874" s="149"/>
      <c r="H874" s="166"/>
      <c r="I874" s="166"/>
      <c r="J874" s="166"/>
      <c r="K874" s="166"/>
      <c r="L874" s="166"/>
      <c r="M874" s="166"/>
      <c r="N874" s="166"/>
      <c r="O874" s="166"/>
      <c r="P874" s="154"/>
      <c r="Q874" s="154"/>
      <c r="R874" s="154"/>
      <c r="S874" s="166"/>
      <c r="T874" s="166"/>
      <c r="U874" s="166"/>
      <c r="V874" s="166"/>
      <c r="W874" s="166"/>
      <c r="X874" s="166"/>
      <c r="Y874" s="150"/>
      <c r="Z874" s="152"/>
      <c r="AA874" s="143"/>
      <c r="AB874" s="154"/>
      <c r="AC874" s="183"/>
      <c r="AD874" s="183"/>
      <c r="AE874" s="154"/>
      <c r="AF874" s="154"/>
      <c r="AG874" s="154"/>
      <c r="AH874" s="154"/>
      <c r="AI874" s="154"/>
      <c r="AJ874" s="154"/>
      <c r="AK874" s="154"/>
      <c r="AL874" s="154"/>
      <c r="AM874" s="154"/>
      <c r="AN874" s="154"/>
      <c r="AO874" s="154"/>
      <c r="AP874" s="183"/>
      <c r="AQ874" s="154"/>
      <c r="AR874" s="154"/>
      <c r="AS874" s="154"/>
    </row>
    <row r="875" customFormat="false" ht="15" hidden="false" customHeight="false" outlineLevel="0" collapsed="false">
      <c r="A875" s="29"/>
      <c r="B875" s="180"/>
      <c r="C875" s="181"/>
      <c r="D875" s="149"/>
      <c r="E875" s="149"/>
      <c r="F875" s="149"/>
      <c r="G875" s="149"/>
      <c r="H875" s="166"/>
      <c r="I875" s="166"/>
      <c r="J875" s="166"/>
      <c r="K875" s="166"/>
      <c r="L875" s="166"/>
      <c r="M875" s="166"/>
      <c r="N875" s="166"/>
      <c r="O875" s="166"/>
      <c r="P875" s="154"/>
      <c r="Q875" s="154"/>
      <c r="R875" s="154"/>
      <c r="S875" s="166"/>
      <c r="T875" s="166"/>
      <c r="U875" s="166"/>
      <c r="V875" s="166"/>
      <c r="W875" s="166"/>
      <c r="X875" s="166"/>
      <c r="Y875" s="150"/>
      <c r="Z875" s="152"/>
      <c r="AA875" s="143"/>
      <c r="AB875" s="153"/>
      <c r="AC875" s="183"/>
      <c r="AD875" s="183"/>
      <c r="AE875" s="154"/>
      <c r="AF875" s="154"/>
      <c r="AG875" s="154"/>
      <c r="AH875" s="154"/>
      <c r="AI875" s="154"/>
      <c r="AJ875" s="154"/>
      <c r="AK875" s="154"/>
      <c r="AL875" s="154"/>
      <c r="AM875" s="154"/>
      <c r="AN875" s="154"/>
      <c r="AO875" s="154"/>
      <c r="AP875" s="183"/>
      <c r="AQ875" s="154"/>
      <c r="AR875" s="154"/>
      <c r="AS875" s="154"/>
    </row>
    <row r="876" customFormat="false" ht="15" hidden="false" customHeight="false" outlineLevel="0" collapsed="false">
      <c r="A876" s="29"/>
      <c r="B876" s="180"/>
      <c r="C876" s="184"/>
      <c r="D876" s="149"/>
      <c r="E876" s="149"/>
      <c r="F876" s="149"/>
      <c r="G876" s="149"/>
      <c r="H876" s="166"/>
      <c r="I876" s="166"/>
      <c r="J876" s="166"/>
      <c r="K876" s="166"/>
      <c r="L876" s="166"/>
      <c r="M876" s="166"/>
      <c r="N876" s="166"/>
      <c r="O876" s="166"/>
      <c r="P876" s="154"/>
      <c r="Q876" s="154"/>
      <c r="R876" s="154"/>
      <c r="S876" s="166"/>
      <c r="T876" s="166"/>
      <c r="U876" s="166"/>
      <c r="V876" s="166"/>
      <c r="W876" s="166"/>
      <c r="X876" s="166"/>
      <c r="Y876" s="150"/>
      <c r="Z876" s="152"/>
      <c r="AA876" s="143"/>
      <c r="AB876" s="154"/>
      <c r="AC876" s="183"/>
      <c r="AD876" s="183"/>
      <c r="AE876" s="154"/>
      <c r="AF876" s="154"/>
      <c r="AG876" s="154"/>
      <c r="AH876" s="154"/>
      <c r="AI876" s="154"/>
      <c r="AJ876" s="154"/>
      <c r="AK876" s="154"/>
      <c r="AL876" s="154"/>
      <c r="AM876" s="154"/>
      <c r="AN876" s="154"/>
      <c r="AO876" s="154"/>
      <c r="AP876" s="183"/>
      <c r="AQ876" s="154"/>
      <c r="AR876" s="154"/>
      <c r="AS876" s="154"/>
    </row>
    <row r="877" customFormat="false" ht="15" hidden="false" customHeight="false" outlineLevel="0" collapsed="false">
      <c r="A877" s="29"/>
      <c r="B877" s="180"/>
      <c r="C877" s="185"/>
      <c r="D877" s="149"/>
      <c r="E877" s="149"/>
      <c r="F877" s="149"/>
      <c r="G877" s="149"/>
      <c r="H877" s="166"/>
      <c r="I877" s="166"/>
      <c r="J877" s="166"/>
      <c r="K877" s="166"/>
      <c r="L877" s="166"/>
      <c r="M877" s="166"/>
      <c r="N877" s="166"/>
      <c r="O877" s="166"/>
      <c r="P877" s="154"/>
      <c r="Q877" s="154"/>
      <c r="R877" s="154"/>
      <c r="S877" s="166"/>
      <c r="T877" s="166"/>
      <c r="U877" s="166"/>
      <c r="V877" s="166"/>
      <c r="W877" s="166"/>
      <c r="X877" s="166"/>
      <c r="Y877" s="150"/>
      <c r="Z877" s="152"/>
      <c r="AA877" s="143"/>
      <c r="AB877" s="154"/>
      <c r="AC877" s="183"/>
      <c r="AD877" s="183"/>
      <c r="AE877" s="154"/>
      <c r="AF877" s="154"/>
      <c r="AG877" s="154"/>
      <c r="AH877" s="154"/>
      <c r="AI877" s="154"/>
      <c r="AJ877" s="154"/>
      <c r="AK877" s="154"/>
      <c r="AL877" s="154"/>
      <c r="AM877" s="154"/>
      <c r="AN877" s="154"/>
      <c r="AO877" s="154"/>
      <c r="AP877" s="183"/>
      <c r="AQ877" s="154"/>
      <c r="AR877" s="154"/>
      <c r="AS877" s="154"/>
    </row>
    <row r="878" customFormat="false" ht="15" hidden="false" customHeight="false" outlineLevel="0" collapsed="false">
      <c r="A878" s="29"/>
      <c r="B878" s="180"/>
      <c r="C878" s="181"/>
      <c r="D878" s="149"/>
      <c r="E878" s="149"/>
      <c r="F878" s="149"/>
      <c r="G878" s="149"/>
      <c r="H878" s="166"/>
      <c r="I878" s="166"/>
      <c r="J878" s="166"/>
      <c r="K878" s="166"/>
      <c r="L878" s="166"/>
      <c r="M878" s="166"/>
      <c r="N878" s="166"/>
      <c r="O878" s="166"/>
      <c r="P878" s="166"/>
      <c r="Q878" s="166"/>
      <c r="R878" s="166"/>
      <c r="S878" s="166"/>
      <c r="T878" s="166"/>
      <c r="U878" s="166"/>
      <c r="V878" s="166"/>
      <c r="W878" s="166"/>
      <c r="X878" s="166"/>
      <c r="Y878" s="150"/>
      <c r="Z878" s="152"/>
      <c r="AA878" s="143"/>
      <c r="AB878" s="153"/>
      <c r="AC878" s="183"/>
      <c r="AD878" s="183"/>
      <c r="AE878" s="154"/>
      <c r="AF878" s="154"/>
      <c r="AG878" s="154"/>
      <c r="AH878" s="154"/>
      <c r="AI878" s="154"/>
      <c r="AJ878" s="154"/>
      <c r="AK878" s="154"/>
      <c r="AL878" s="154"/>
      <c r="AM878" s="154"/>
      <c r="AN878" s="154"/>
      <c r="AO878" s="154"/>
      <c r="AP878" s="183"/>
      <c r="AQ878" s="154"/>
      <c r="AR878" s="154"/>
      <c r="AS878" s="154"/>
    </row>
    <row r="879" customFormat="false" ht="15" hidden="false" customHeight="false" outlineLevel="0" collapsed="false">
      <c r="A879" s="29"/>
      <c r="B879" s="180"/>
      <c r="C879" s="184"/>
      <c r="D879" s="149"/>
      <c r="E879" s="149"/>
      <c r="F879" s="149"/>
      <c r="G879" s="149"/>
      <c r="H879" s="166"/>
      <c r="I879" s="166"/>
      <c r="J879" s="166"/>
      <c r="K879" s="166"/>
      <c r="L879" s="166"/>
      <c r="M879" s="166"/>
      <c r="N879" s="166"/>
      <c r="O879" s="166"/>
      <c r="P879" s="166"/>
      <c r="Q879" s="166"/>
      <c r="R879" s="166"/>
      <c r="S879" s="166"/>
      <c r="T879" s="166"/>
      <c r="U879" s="166"/>
      <c r="V879" s="166"/>
      <c r="W879" s="166"/>
      <c r="X879" s="166"/>
      <c r="Y879" s="150"/>
      <c r="Z879" s="152"/>
      <c r="AA879" s="143"/>
      <c r="AB879" s="154"/>
      <c r="AC879" s="183"/>
      <c r="AD879" s="183"/>
      <c r="AE879" s="154"/>
      <c r="AF879" s="154"/>
      <c r="AG879" s="154"/>
      <c r="AH879" s="154"/>
      <c r="AI879" s="154"/>
      <c r="AJ879" s="154"/>
      <c r="AK879" s="154"/>
      <c r="AL879" s="154"/>
      <c r="AM879" s="154"/>
      <c r="AN879" s="154"/>
      <c r="AO879" s="154"/>
      <c r="AP879" s="183"/>
      <c r="AQ879" s="154"/>
      <c r="AR879" s="154"/>
      <c r="AS879" s="154"/>
    </row>
    <row r="880" customFormat="false" ht="15" hidden="false" customHeight="false" outlineLevel="0" collapsed="false">
      <c r="A880" s="29"/>
      <c r="B880" s="180"/>
      <c r="C880" s="185"/>
      <c r="D880" s="149"/>
      <c r="E880" s="149"/>
      <c r="F880" s="149"/>
      <c r="G880" s="149"/>
      <c r="H880" s="166"/>
      <c r="I880" s="166"/>
      <c r="J880" s="166"/>
      <c r="K880" s="166"/>
      <c r="L880" s="166"/>
      <c r="M880" s="166"/>
      <c r="N880" s="166"/>
      <c r="O880" s="166"/>
      <c r="P880" s="166"/>
      <c r="Q880" s="166"/>
      <c r="R880" s="166"/>
      <c r="S880" s="166"/>
      <c r="T880" s="166"/>
      <c r="U880" s="166"/>
      <c r="V880" s="166"/>
      <c r="W880" s="166"/>
      <c r="X880" s="166"/>
      <c r="Y880" s="150"/>
      <c r="Z880" s="152"/>
      <c r="AA880" s="143"/>
      <c r="AB880" s="154"/>
      <c r="AC880" s="183"/>
      <c r="AD880" s="183"/>
      <c r="AE880" s="154"/>
      <c r="AF880" s="154"/>
      <c r="AG880" s="154"/>
      <c r="AH880" s="154"/>
      <c r="AI880" s="154"/>
      <c r="AJ880" s="154"/>
      <c r="AK880" s="154"/>
      <c r="AL880" s="154"/>
      <c r="AM880" s="154"/>
      <c r="AN880" s="154"/>
      <c r="AO880" s="154"/>
      <c r="AP880" s="183"/>
      <c r="AQ880" s="154"/>
      <c r="AR880" s="154"/>
      <c r="AS880" s="154"/>
    </row>
    <row r="882" customFormat="false" ht="14.25" hidden="false" customHeight="false" outlineLevel="0" collapsed="false">
      <c r="B882" s="157"/>
      <c r="C882" s="158"/>
      <c r="D882" s="53"/>
      <c r="E882" s="53"/>
      <c r="F882" s="53"/>
      <c r="G882" s="53"/>
      <c r="H882" s="54"/>
      <c r="I882" s="55"/>
      <c r="J882" s="54"/>
      <c r="K882" s="55"/>
      <c r="L882" s="54"/>
      <c r="M882" s="54"/>
      <c r="N882" s="54"/>
      <c r="O882" s="54"/>
      <c r="P882" s="54"/>
      <c r="Q882" s="57"/>
      <c r="R882" s="54"/>
      <c r="S882" s="54"/>
      <c r="T882" s="54"/>
      <c r="U882" s="54"/>
      <c r="V882" s="54"/>
      <c r="W882" s="54"/>
      <c r="X882" s="54"/>
      <c r="Y882" s="54"/>
      <c r="Z882" s="157"/>
      <c r="AA882" s="53"/>
      <c r="AE882" s="157"/>
      <c r="AI882" s="157"/>
      <c r="AJ882" s="157"/>
      <c r="AK882" s="157"/>
      <c r="AL882" s="157"/>
      <c r="AM882" s="104"/>
      <c r="AN882" s="104"/>
      <c r="AO882" s="104"/>
    </row>
    <row r="885" customFormat="false" ht="14.25" hidden="false" customHeight="false" outlineLevel="0" collapsed="false">
      <c r="A885" s="105"/>
      <c r="B885" s="105"/>
      <c r="C885" s="105"/>
      <c r="D885" s="105"/>
      <c r="E885" s="105"/>
      <c r="F885" s="105"/>
      <c r="G885" s="105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05"/>
      <c r="Z885" s="105"/>
      <c r="AA885" s="105"/>
      <c r="AB885" s="105"/>
      <c r="AC885" s="105"/>
      <c r="AD885" s="105"/>
      <c r="AE885" s="105"/>
      <c r="AF885" s="105"/>
      <c r="AG885" s="105"/>
      <c r="AH885" s="105"/>
      <c r="AI885" s="105"/>
      <c r="AJ885" s="105"/>
      <c r="AK885" s="105"/>
      <c r="AL885" s="105"/>
      <c r="AM885" s="105"/>
      <c r="AN885" s="105"/>
      <c r="AO885" s="105"/>
      <c r="AP885" s="105"/>
      <c r="AQ885" s="105"/>
      <c r="AR885" s="105"/>
      <c r="AS885" s="105"/>
    </row>
    <row r="886" customFormat="false" ht="14.25" hidden="false" customHeight="false" outlineLevel="0" collapsed="false">
      <c r="A886" s="105"/>
      <c r="B886" s="105"/>
      <c r="C886" s="105"/>
      <c r="D886" s="105"/>
      <c r="E886" s="105"/>
      <c r="F886" s="105"/>
      <c r="G886" s="105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  <c r="S886" s="105"/>
      <c r="T886" s="105"/>
      <c r="U886" s="105"/>
      <c r="V886" s="105"/>
      <c r="W886" s="105"/>
      <c r="X886" s="105"/>
      <c r="Y886" s="105"/>
      <c r="Z886" s="105"/>
      <c r="AA886" s="105"/>
      <c r="AB886" s="105"/>
      <c r="AC886" s="105"/>
      <c r="AD886" s="105"/>
      <c r="AE886" s="105"/>
      <c r="AF886" s="105"/>
      <c r="AG886" s="105"/>
      <c r="AH886" s="105"/>
      <c r="AI886" s="105"/>
      <c r="AJ886" s="105"/>
      <c r="AK886" s="105"/>
      <c r="AL886" s="105"/>
      <c r="AM886" s="105"/>
      <c r="AN886" s="105"/>
      <c r="AO886" s="105"/>
      <c r="AP886" s="105"/>
      <c r="AQ886" s="105"/>
      <c r="AR886" s="105"/>
      <c r="AS886" s="105"/>
    </row>
    <row r="887" customFormat="false" ht="17.25" hidden="false" customHeight="false" outlineLevel="0" collapsed="false">
      <c r="A887" s="106"/>
      <c r="B887" s="106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  <c r="AA887" s="106"/>
      <c r="AB887" s="106"/>
      <c r="AC887" s="106"/>
      <c r="AD887" s="106"/>
      <c r="AE887" s="106"/>
      <c r="AF887" s="106"/>
      <c r="AG887" s="106"/>
      <c r="AH887" s="106"/>
      <c r="AI887" s="106"/>
      <c r="AJ887" s="106"/>
      <c r="AK887" s="106"/>
      <c r="AL887" s="106"/>
      <c r="AM887" s="106"/>
      <c r="AN887" s="106"/>
      <c r="AO887" s="106"/>
      <c r="AP887" s="106"/>
      <c r="AQ887" s="106"/>
      <c r="AR887" s="106"/>
      <c r="AS887" s="106"/>
    </row>
    <row r="888" customFormat="false" ht="15" hidden="false" customHeight="false" outlineLevel="0" collapsed="false">
      <c r="A888" s="107"/>
      <c r="B888" s="107"/>
      <c r="C888" s="108"/>
      <c r="D888" s="109"/>
      <c r="E888" s="109"/>
      <c r="F888" s="109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  <c r="Y888" s="109"/>
      <c r="Z888" s="109"/>
      <c r="AA888" s="110"/>
      <c r="AB888" s="111"/>
      <c r="AC888" s="111"/>
      <c r="AD888" s="111"/>
      <c r="AE888" s="111"/>
      <c r="AF888" s="111"/>
      <c r="AG888" s="111"/>
      <c r="AH888" s="111"/>
      <c r="AI888" s="111"/>
      <c r="AJ888" s="111"/>
      <c r="AK888" s="111"/>
      <c r="AL888" s="111"/>
      <c r="AM888" s="112"/>
      <c r="AN888" s="113"/>
      <c r="AO888" s="113"/>
      <c r="AP888" s="114"/>
      <c r="AQ888" s="114"/>
      <c r="AR888" s="114"/>
      <c r="AS888" s="114"/>
    </row>
    <row r="889" customFormat="false" ht="15" hidden="false" customHeight="false" outlineLevel="0" collapsed="false">
      <c r="A889" s="107"/>
      <c r="B889" s="107"/>
      <c r="C889" s="60"/>
      <c r="D889" s="110"/>
      <c r="E889" s="110"/>
      <c r="F889" s="110"/>
      <c r="G889" s="110"/>
      <c r="H889" s="115"/>
      <c r="I889" s="115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  <c r="Y889" s="109"/>
      <c r="Z889" s="109"/>
      <c r="AA889" s="110"/>
      <c r="AB889" s="115"/>
      <c r="AC889" s="115"/>
      <c r="AD889" s="115"/>
      <c r="AE889" s="111"/>
      <c r="AF889" s="111"/>
      <c r="AG889" s="111"/>
      <c r="AH889" s="111"/>
      <c r="AI889" s="115"/>
      <c r="AJ889" s="115"/>
      <c r="AK889" s="115"/>
      <c r="AL889" s="115"/>
      <c r="AM889" s="112"/>
      <c r="AN889" s="116"/>
      <c r="AO889" s="116"/>
      <c r="AP889" s="114"/>
      <c r="AQ889" s="114"/>
      <c r="AR889" s="114"/>
      <c r="AS889" s="114"/>
    </row>
    <row r="890" customFormat="false" ht="15.75" hidden="false" customHeight="false" outlineLevel="0" collapsed="false">
      <c r="A890" s="107"/>
      <c r="B890" s="107"/>
      <c r="C890" s="60"/>
      <c r="D890" s="110"/>
      <c r="E890" s="110"/>
      <c r="F890" s="110"/>
      <c r="G890" s="110"/>
      <c r="H890" s="115"/>
      <c r="I890" s="115"/>
      <c r="J890" s="117"/>
      <c r="K890" s="117"/>
      <c r="L890" s="117"/>
      <c r="M890" s="117"/>
      <c r="N890" s="117"/>
      <c r="O890" s="117"/>
      <c r="P890" s="117"/>
      <c r="Q890" s="117"/>
      <c r="R890" s="117"/>
      <c r="S890" s="117"/>
      <c r="T890" s="117"/>
      <c r="U890" s="117"/>
      <c r="V890" s="117"/>
      <c r="W890" s="117"/>
      <c r="X890" s="117"/>
      <c r="Y890" s="117"/>
      <c r="Z890" s="117"/>
      <c r="AA890" s="117"/>
      <c r="AB890" s="115"/>
      <c r="AC890" s="115"/>
      <c r="AD890" s="115"/>
      <c r="AE890" s="115"/>
      <c r="AF890" s="115"/>
      <c r="AG890" s="115"/>
      <c r="AH890" s="115"/>
      <c r="AI890" s="115"/>
      <c r="AJ890" s="115"/>
      <c r="AK890" s="115"/>
      <c r="AL890" s="115"/>
      <c r="AM890" s="112"/>
      <c r="AN890" s="118"/>
      <c r="AO890" s="118"/>
      <c r="AP890" s="114"/>
      <c r="AQ890" s="114"/>
      <c r="AR890" s="114"/>
      <c r="AS890" s="114"/>
    </row>
    <row r="891" customFormat="false" ht="14.25" hidden="false" customHeight="false" outlineLevel="0" collapsed="false">
      <c r="A891" s="119"/>
      <c r="B891" s="120"/>
      <c r="C891" s="121"/>
      <c r="D891" s="122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  <c r="AA891" s="123"/>
      <c r="AB891" s="123"/>
      <c r="AC891" s="124"/>
      <c r="AD891" s="124"/>
      <c r="AE891" s="124"/>
      <c r="AF891" s="124"/>
      <c r="AG891" s="124"/>
      <c r="AH891" s="124"/>
      <c r="AI891" s="124"/>
      <c r="AJ891" s="124"/>
      <c r="AK891" s="124"/>
      <c r="AL891" s="124"/>
      <c r="AM891" s="124"/>
      <c r="AN891" s="124"/>
      <c r="AO891" s="124"/>
      <c r="AP891" s="124"/>
      <c r="AQ891" s="125"/>
      <c r="AR891" s="125"/>
      <c r="AS891" s="125"/>
    </row>
    <row r="892" customFormat="false" ht="15" hidden="false" customHeight="false" outlineLevel="0" collapsed="false">
      <c r="A892" s="119"/>
      <c r="B892" s="120"/>
      <c r="C892" s="126"/>
      <c r="D892" s="127"/>
      <c r="E892" s="127"/>
      <c r="F892" s="127"/>
      <c r="G892" s="127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9"/>
      <c r="S892" s="129"/>
      <c r="T892" s="129"/>
      <c r="U892" s="129"/>
      <c r="V892" s="129"/>
      <c r="W892" s="129"/>
      <c r="X892" s="129"/>
      <c r="Y892" s="129"/>
      <c r="Z892" s="130"/>
      <c r="AA892" s="123"/>
      <c r="AB892" s="123"/>
      <c r="AC892" s="131"/>
      <c r="AD892" s="131"/>
      <c r="AE892" s="131"/>
      <c r="AF892" s="131"/>
      <c r="AG892" s="131"/>
      <c r="AH892" s="131"/>
      <c r="AI892" s="131"/>
      <c r="AJ892" s="132"/>
      <c r="AK892" s="132"/>
      <c r="AL892" s="132"/>
      <c r="AM892" s="132"/>
      <c r="AN892" s="132"/>
      <c r="AO892" s="132"/>
      <c r="AP892" s="132"/>
      <c r="AQ892" s="125"/>
      <c r="AR892" s="125"/>
      <c r="AS892" s="125"/>
    </row>
    <row r="893" customFormat="false" ht="15" hidden="false" customHeight="false" outlineLevel="0" collapsed="false">
      <c r="A893" s="119"/>
      <c r="B893" s="120"/>
      <c r="C893" s="126"/>
      <c r="D893" s="127"/>
      <c r="E893" s="127"/>
      <c r="F893" s="127"/>
      <c r="G893" s="127"/>
      <c r="H893" s="129"/>
      <c r="I893" s="128"/>
      <c r="J893" s="129"/>
      <c r="K893" s="129"/>
      <c r="L893" s="129"/>
      <c r="M893" s="129"/>
      <c r="N893" s="129"/>
      <c r="O893" s="129"/>
      <c r="P893" s="129"/>
      <c r="Q893" s="47"/>
      <c r="R893" s="128"/>
      <c r="S893" s="128"/>
      <c r="T893" s="128"/>
      <c r="U893" s="128"/>
      <c r="V893" s="128"/>
      <c r="W893" s="129"/>
      <c r="X893" s="129"/>
      <c r="Y893" s="129"/>
      <c r="Z893" s="130"/>
      <c r="AA893" s="123"/>
      <c r="AB893" s="123"/>
      <c r="AC893" s="133"/>
      <c r="AD893" s="134"/>
      <c r="AE893" s="136"/>
      <c r="AF893" s="186"/>
      <c r="AG893" s="187"/>
      <c r="AH893" s="187"/>
      <c r="AI893" s="136"/>
      <c r="AJ893" s="136"/>
      <c r="AK893" s="137"/>
      <c r="AL893" s="136"/>
      <c r="AM893" s="136"/>
      <c r="AN893" s="137"/>
      <c r="AO893" s="137"/>
      <c r="AP893" s="188"/>
      <c r="AQ893" s="125"/>
      <c r="AR893" s="125"/>
      <c r="AS893" s="125"/>
    </row>
    <row r="894" customFormat="false" ht="15" hidden="false" customHeight="false" outlineLevel="0" collapsed="false">
      <c r="A894" s="119"/>
      <c r="B894" s="120"/>
      <c r="C894" s="140"/>
      <c r="D894" s="127"/>
      <c r="E894" s="127"/>
      <c r="F894" s="127"/>
      <c r="G894" s="127"/>
      <c r="H894" s="141"/>
      <c r="I894" s="141"/>
      <c r="J894" s="128"/>
      <c r="K894" s="141"/>
      <c r="L894" s="141"/>
      <c r="M894" s="141"/>
      <c r="N894" s="141"/>
      <c r="O894" s="141"/>
      <c r="P894" s="141"/>
      <c r="Q894" s="141"/>
      <c r="R894" s="141"/>
      <c r="S894" s="142"/>
      <c r="T894" s="142"/>
      <c r="U894" s="142"/>
      <c r="V894" s="128"/>
      <c r="W894" s="128"/>
      <c r="X894" s="128"/>
      <c r="Y894" s="128"/>
      <c r="Z894" s="143"/>
      <c r="AA894" s="123"/>
      <c r="AB894" s="123"/>
      <c r="AC894" s="133"/>
      <c r="AD894" s="144"/>
      <c r="AE894" s="136"/>
      <c r="AF894" s="186"/>
      <c r="AG894" s="189"/>
      <c r="AH894" s="189"/>
      <c r="AI894" s="136"/>
      <c r="AJ894" s="136"/>
      <c r="AK894" s="145"/>
      <c r="AL894" s="136"/>
      <c r="AM894" s="136"/>
      <c r="AN894" s="145"/>
      <c r="AO894" s="145"/>
      <c r="AP894" s="188"/>
      <c r="AQ894" s="125"/>
      <c r="AR894" s="125"/>
      <c r="AS894" s="125"/>
    </row>
    <row r="895" customFormat="false" ht="15" hidden="false" customHeight="false" outlineLevel="0" collapsed="false">
      <c r="A895" s="29"/>
      <c r="B895" s="147"/>
      <c r="C895" s="148"/>
      <c r="D895" s="149"/>
      <c r="E895" s="149"/>
      <c r="F895" s="149"/>
      <c r="G895" s="149"/>
      <c r="H895" s="150"/>
      <c r="I895" s="151"/>
      <c r="J895" s="151"/>
      <c r="K895" s="151"/>
      <c r="L895" s="151"/>
      <c r="M895" s="151"/>
      <c r="N895" s="151"/>
      <c r="O895" s="151"/>
      <c r="P895" s="151"/>
      <c r="Q895" s="151"/>
      <c r="R895" s="150"/>
      <c r="S895" s="150"/>
      <c r="T895" s="150"/>
      <c r="U895" s="150"/>
      <c r="V895" s="150"/>
      <c r="W895" s="150"/>
      <c r="X895" s="150"/>
      <c r="Y895" s="150"/>
      <c r="Z895" s="152"/>
      <c r="AA895" s="143"/>
      <c r="AB895" s="153"/>
      <c r="AC895" s="152"/>
      <c r="AD895" s="152"/>
      <c r="AE895" s="154"/>
      <c r="AF895" s="154"/>
      <c r="AG895" s="154"/>
      <c r="AH895" s="154"/>
      <c r="AI895" s="154"/>
      <c r="AJ895" s="154"/>
      <c r="AK895" s="154"/>
      <c r="AL895" s="154"/>
      <c r="AM895" s="154"/>
      <c r="AN895" s="154"/>
      <c r="AO895" s="154"/>
      <c r="AP895" s="152"/>
      <c r="AQ895" s="154"/>
      <c r="AR895" s="154"/>
      <c r="AS895" s="154"/>
    </row>
    <row r="896" customFormat="false" ht="15" hidden="false" customHeight="false" outlineLevel="0" collapsed="false">
      <c r="A896" s="29"/>
      <c r="B896" s="147"/>
      <c r="C896" s="155"/>
      <c r="D896" s="149"/>
      <c r="E896" s="149"/>
      <c r="F896" s="149"/>
      <c r="G896" s="149"/>
      <c r="H896" s="150"/>
      <c r="I896" s="151"/>
      <c r="J896" s="151"/>
      <c r="K896" s="151"/>
      <c r="L896" s="151"/>
      <c r="M896" s="151"/>
      <c r="N896" s="151"/>
      <c r="O896" s="151"/>
      <c r="P896" s="151"/>
      <c r="Q896" s="151"/>
      <c r="R896" s="150"/>
      <c r="S896" s="150"/>
      <c r="T896" s="150"/>
      <c r="U896" s="150"/>
      <c r="V896" s="150"/>
      <c r="W896" s="150"/>
      <c r="X896" s="150"/>
      <c r="Y896" s="150"/>
      <c r="Z896" s="152"/>
      <c r="AA896" s="143"/>
      <c r="AB896" s="154"/>
      <c r="AC896" s="152"/>
      <c r="AD896" s="152"/>
      <c r="AE896" s="154"/>
      <c r="AF896" s="154"/>
      <c r="AG896" s="154"/>
      <c r="AH896" s="154"/>
      <c r="AI896" s="154"/>
      <c r="AJ896" s="154"/>
      <c r="AK896" s="154"/>
      <c r="AL896" s="154"/>
      <c r="AM896" s="154"/>
      <c r="AN896" s="154"/>
      <c r="AO896" s="154"/>
      <c r="AP896" s="152"/>
      <c r="AQ896" s="154"/>
      <c r="AR896" s="154"/>
      <c r="AS896" s="154"/>
    </row>
    <row r="897" customFormat="false" ht="15" hidden="false" customHeight="false" outlineLevel="0" collapsed="false">
      <c r="A897" s="29"/>
      <c r="B897" s="147"/>
      <c r="C897" s="156"/>
      <c r="D897" s="149"/>
      <c r="E897" s="149"/>
      <c r="F897" s="149"/>
      <c r="G897" s="149"/>
      <c r="H897" s="150"/>
      <c r="I897" s="151"/>
      <c r="J897" s="151"/>
      <c r="K897" s="151"/>
      <c r="L897" s="151"/>
      <c r="M897" s="151"/>
      <c r="N897" s="151"/>
      <c r="O897" s="151"/>
      <c r="P897" s="151"/>
      <c r="Q897" s="151"/>
      <c r="R897" s="150"/>
      <c r="S897" s="150"/>
      <c r="T897" s="150"/>
      <c r="U897" s="150"/>
      <c r="V897" s="150"/>
      <c r="W897" s="150"/>
      <c r="X897" s="150"/>
      <c r="Y897" s="150"/>
      <c r="Z897" s="152"/>
      <c r="AA897" s="143"/>
      <c r="AB897" s="154"/>
      <c r="AC897" s="152"/>
      <c r="AD897" s="152"/>
      <c r="AE897" s="154"/>
      <c r="AF897" s="154"/>
      <c r="AG897" s="154"/>
      <c r="AH897" s="154"/>
      <c r="AI897" s="154"/>
      <c r="AJ897" s="154"/>
      <c r="AK897" s="154"/>
      <c r="AL897" s="154"/>
      <c r="AM897" s="154"/>
      <c r="AN897" s="154"/>
      <c r="AO897" s="154"/>
      <c r="AP897" s="152"/>
      <c r="AQ897" s="154"/>
      <c r="AR897" s="154"/>
      <c r="AS897" s="154"/>
    </row>
    <row r="898" customFormat="false" ht="15" hidden="false" customHeight="false" outlineLevel="0" collapsed="false">
      <c r="A898" s="29"/>
      <c r="B898" s="147"/>
      <c r="C898" s="148"/>
      <c r="D898" s="149"/>
      <c r="E898" s="149"/>
      <c r="F898" s="149"/>
      <c r="G898" s="149"/>
      <c r="H898" s="150"/>
      <c r="I898" s="151"/>
      <c r="J898" s="151"/>
      <c r="K898" s="151"/>
      <c r="L898" s="151"/>
      <c r="M898" s="151"/>
      <c r="N898" s="151"/>
      <c r="O898" s="151"/>
      <c r="P898" s="151"/>
      <c r="Q898" s="151"/>
      <c r="R898" s="150"/>
      <c r="S898" s="150"/>
      <c r="T898" s="150"/>
      <c r="U898" s="150"/>
      <c r="V898" s="150"/>
      <c r="W898" s="150"/>
      <c r="X898" s="150"/>
      <c r="Y898" s="150"/>
      <c r="Z898" s="152"/>
      <c r="AA898" s="143"/>
      <c r="AB898" s="153"/>
      <c r="AC898" s="152"/>
      <c r="AD898" s="152"/>
      <c r="AE898" s="154"/>
      <c r="AF898" s="154"/>
      <c r="AG898" s="154"/>
      <c r="AH898" s="154"/>
      <c r="AI898" s="154"/>
      <c r="AJ898" s="154"/>
      <c r="AK898" s="154"/>
      <c r="AL898" s="154"/>
      <c r="AM898" s="154"/>
      <c r="AN898" s="154"/>
      <c r="AO898" s="154"/>
      <c r="AP898" s="152"/>
      <c r="AQ898" s="154"/>
      <c r="AR898" s="154"/>
      <c r="AS898" s="154"/>
    </row>
    <row r="899" customFormat="false" ht="15" hidden="false" customHeight="false" outlineLevel="0" collapsed="false">
      <c r="A899" s="29"/>
      <c r="B899" s="147"/>
      <c r="C899" s="155"/>
      <c r="D899" s="149"/>
      <c r="E899" s="149"/>
      <c r="F899" s="149"/>
      <c r="G899" s="149"/>
      <c r="H899" s="150"/>
      <c r="I899" s="151"/>
      <c r="J899" s="151"/>
      <c r="K899" s="151"/>
      <c r="L899" s="151"/>
      <c r="M899" s="151"/>
      <c r="N899" s="151"/>
      <c r="O899" s="151"/>
      <c r="P899" s="151"/>
      <c r="Q899" s="151"/>
      <c r="R899" s="150"/>
      <c r="S899" s="150"/>
      <c r="T899" s="150"/>
      <c r="U899" s="150"/>
      <c r="V899" s="150"/>
      <c r="W899" s="150"/>
      <c r="X899" s="150"/>
      <c r="Y899" s="150"/>
      <c r="Z899" s="152"/>
      <c r="AA899" s="143"/>
      <c r="AB899" s="154"/>
      <c r="AC899" s="152"/>
      <c r="AD899" s="152"/>
      <c r="AE899" s="154"/>
      <c r="AF899" s="154"/>
      <c r="AG899" s="154"/>
      <c r="AH899" s="154"/>
      <c r="AI899" s="154"/>
      <c r="AJ899" s="154"/>
      <c r="AK899" s="154"/>
      <c r="AL899" s="154"/>
      <c r="AM899" s="154"/>
      <c r="AN899" s="154"/>
      <c r="AO899" s="154"/>
      <c r="AP899" s="152"/>
      <c r="AQ899" s="154"/>
      <c r="AR899" s="154"/>
      <c r="AS899" s="154"/>
    </row>
    <row r="900" customFormat="false" ht="15" hidden="false" customHeight="false" outlineLevel="0" collapsed="false">
      <c r="A900" s="29"/>
      <c r="B900" s="147"/>
      <c r="C900" s="156"/>
      <c r="D900" s="149"/>
      <c r="E900" s="149"/>
      <c r="F900" s="149"/>
      <c r="G900" s="149"/>
      <c r="H900" s="150"/>
      <c r="I900" s="151"/>
      <c r="J900" s="151"/>
      <c r="K900" s="151"/>
      <c r="L900" s="151"/>
      <c r="M900" s="151"/>
      <c r="N900" s="151"/>
      <c r="O900" s="151"/>
      <c r="P900" s="151"/>
      <c r="Q900" s="151"/>
      <c r="R900" s="150"/>
      <c r="S900" s="150"/>
      <c r="T900" s="150"/>
      <c r="U900" s="150"/>
      <c r="V900" s="150"/>
      <c r="W900" s="150"/>
      <c r="X900" s="150"/>
      <c r="Y900" s="150"/>
      <c r="Z900" s="152"/>
      <c r="AA900" s="143"/>
      <c r="AB900" s="154"/>
      <c r="AC900" s="152"/>
      <c r="AD900" s="152"/>
      <c r="AE900" s="154"/>
      <c r="AF900" s="154"/>
      <c r="AG900" s="154"/>
      <c r="AH900" s="154"/>
      <c r="AI900" s="154"/>
      <c r="AJ900" s="154"/>
      <c r="AK900" s="154"/>
      <c r="AL900" s="154"/>
      <c r="AM900" s="154"/>
      <c r="AN900" s="154"/>
      <c r="AO900" s="154"/>
      <c r="AP900" s="152"/>
      <c r="AQ900" s="154"/>
      <c r="AR900" s="154"/>
      <c r="AS900" s="154"/>
    </row>
    <row r="901" customFormat="false" ht="15" hidden="false" customHeight="false" outlineLevel="0" collapsed="false">
      <c r="A901" s="29"/>
      <c r="B901" s="147"/>
      <c r="C901" s="148"/>
      <c r="D901" s="149"/>
      <c r="E901" s="149"/>
      <c r="F901" s="149"/>
      <c r="G901" s="149"/>
      <c r="H901" s="150"/>
      <c r="I901" s="151"/>
      <c r="J901" s="151"/>
      <c r="K901" s="151"/>
      <c r="L901" s="151"/>
      <c r="M901" s="151"/>
      <c r="N901" s="151"/>
      <c r="O901" s="151"/>
      <c r="P901" s="151"/>
      <c r="Q901" s="151"/>
      <c r="R901" s="150"/>
      <c r="S901" s="150"/>
      <c r="T901" s="150"/>
      <c r="U901" s="150"/>
      <c r="V901" s="150"/>
      <c r="W901" s="150"/>
      <c r="X901" s="150"/>
      <c r="Y901" s="150"/>
      <c r="Z901" s="152"/>
      <c r="AA901" s="143"/>
      <c r="AB901" s="153"/>
      <c r="AC901" s="152"/>
      <c r="AD901" s="152"/>
      <c r="AE901" s="154"/>
      <c r="AF901" s="154"/>
      <c r="AG901" s="154"/>
      <c r="AH901" s="154"/>
      <c r="AI901" s="154"/>
      <c r="AJ901" s="154"/>
      <c r="AK901" s="154"/>
      <c r="AL901" s="154"/>
      <c r="AM901" s="154"/>
      <c r="AN901" s="154"/>
      <c r="AO901" s="154"/>
      <c r="AP901" s="152"/>
      <c r="AQ901" s="154"/>
      <c r="AR901" s="154"/>
      <c r="AS901" s="154"/>
    </row>
    <row r="902" customFormat="false" ht="15" hidden="false" customHeight="false" outlineLevel="0" collapsed="false">
      <c r="A902" s="29"/>
      <c r="B902" s="147"/>
      <c r="C902" s="155"/>
      <c r="D902" s="149"/>
      <c r="E902" s="149"/>
      <c r="F902" s="149"/>
      <c r="G902" s="149"/>
      <c r="H902" s="150"/>
      <c r="I902" s="151"/>
      <c r="J902" s="151"/>
      <c r="K902" s="151"/>
      <c r="L902" s="151"/>
      <c r="M902" s="151"/>
      <c r="N902" s="151"/>
      <c r="O902" s="151"/>
      <c r="P902" s="151"/>
      <c r="Q902" s="151"/>
      <c r="R902" s="150"/>
      <c r="S902" s="150"/>
      <c r="T902" s="150"/>
      <c r="U902" s="150"/>
      <c r="V902" s="150"/>
      <c r="W902" s="150"/>
      <c r="X902" s="150"/>
      <c r="Y902" s="150"/>
      <c r="Z902" s="152"/>
      <c r="AA902" s="143"/>
      <c r="AB902" s="154"/>
      <c r="AC902" s="152"/>
      <c r="AD902" s="152"/>
      <c r="AE902" s="154"/>
      <c r="AF902" s="154"/>
      <c r="AG902" s="154"/>
      <c r="AH902" s="154"/>
      <c r="AI902" s="154"/>
      <c r="AJ902" s="154"/>
      <c r="AK902" s="154"/>
      <c r="AL902" s="154"/>
      <c r="AM902" s="154"/>
      <c r="AN902" s="154"/>
      <c r="AO902" s="154"/>
      <c r="AP902" s="152"/>
      <c r="AQ902" s="154"/>
      <c r="AR902" s="154"/>
      <c r="AS902" s="154"/>
    </row>
    <row r="903" customFormat="false" ht="15" hidden="false" customHeight="false" outlineLevel="0" collapsed="false">
      <c r="A903" s="29"/>
      <c r="B903" s="147"/>
      <c r="C903" s="156"/>
      <c r="D903" s="149"/>
      <c r="E903" s="149"/>
      <c r="F903" s="149"/>
      <c r="G903" s="149"/>
      <c r="H903" s="150"/>
      <c r="I903" s="151"/>
      <c r="J903" s="151"/>
      <c r="K903" s="151"/>
      <c r="L903" s="151"/>
      <c r="M903" s="151"/>
      <c r="N903" s="151"/>
      <c r="O903" s="151"/>
      <c r="P903" s="151"/>
      <c r="Q903" s="151"/>
      <c r="R903" s="150"/>
      <c r="S903" s="150"/>
      <c r="T903" s="150"/>
      <c r="U903" s="150"/>
      <c r="V903" s="150"/>
      <c r="W903" s="150"/>
      <c r="X903" s="150"/>
      <c r="Y903" s="150"/>
      <c r="Z903" s="152"/>
      <c r="AA903" s="143"/>
      <c r="AB903" s="154"/>
      <c r="AC903" s="152"/>
      <c r="AD903" s="152"/>
      <c r="AE903" s="154"/>
      <c r="AF903" s="154"/>
      <c r="AG903" s="154"/>
      <c r="AH903" s="154"/>
      <c r="AI903" s="154"/>
      <c r="AJ903" s="154"/>
      <c r="AK903" s="154"/>
      <c r="AL903" s="154"/>
      <c r="AM903" s="154"/>
      <c r="AN903" s="154"/>
      <c r="AO903" s="154"/>
      <c r="AP903" s="152"/>
      <c r="AQ903" s="154"/>
      <c r="AR903" s="154"/>
      <c r="AS903" s="154"/>
    </row>
    <row r="904" customFormat="false" ht="15" hidden="false" customHeight="false" outlineLevel="0" collapsed="false">
      <c r="A904" s="29"/>
      <c r="B904" s="147"/>
      <c r="C904" s="148"/>
      <c r="D904" s="149"/>
      <c r="E904" s="149"/>
      <c r="F904" s="149"/>
      <c r="G904" s="149"/>
      <c r="H904" s="150"/>
      <c r="I904" s="151"/>
      <c r="J904" s="151"/>
      <c r="K904" s="151"/>
      <c r="L904" s="151"/>
      <c r="M904" s="151"/>
      <c r="N904" s="151"/>
      <c r="O904" s="151"/>
      <c r="P904" s="151"/>
      <c r="Q904" s="151"/>
      <c r="R904" s="150"/>
      <c r="S904" s="150"/>
      <c r="T904" s="150"/>
      <c r="U904" s="150"/>
      <c r="V904" s="150"/>
      <c r="W904" s="150"/>
      <c r="X904" s="150"/>
      <c r="Y904" s="150"/>
      <c r="Z904" s="152"/>
      <c r="AA904" s="143"/>
      <c r="AB904" s="153"/>
      <c r="AC904" s="152"/>
      <c r="AD904" s="152"/>
      <c r="AE904" s="154"/>
      <c r="AF904" s="154"/>
      <c r="AG904" s="154"/>
      <c r="AH904" s="154"/>
      <c r="AI904" s="154"/>
      <c r="AJ904" s="154"/>
      <c r="AK904" s="154"/>
      <c r="AL904" s="154"/>
      <c r="AM904" s="154"/>
      <c r="AN904" s="154"/>
      <c r="AO904" s="154"/>
      <c r="AP904" s="152"/>
      <c r="AQ904" s="154"/>
      <c r="AR904" s="154"/>
      <c r="AS904" s="154"/>
    </row>
    <row r="905" customFormat="false" ht="15" hidden="false" customHeight="false" outlineLevel="0" collapsed="false">
      <c r="A905" s="29"/>
      <c r="B905" s="147"/>
      <c r="C905" s="155"/>
      <c r="D905" s="149"/>
      <c r="E905" s="149"/>
      <c r="F905" s="149"/>
      <c r="G905" s="149"/>
      <c r="H905" s="150"/>
      <c r="I905" s="151"/>
      <c r="J905" s="151"/>
      <c r="K905" s="151"/>
      <c r="L905" s="151"/>
      <c r="M905" s="151"/>
      <c r="N905" s="151"/>
      <c r="O905" s="151"/>
      <c r="P905" s="151"/>
      <c r="Q905" s="151"/>
      <c r="R905" s="150"/>
      <c r="S905" s="150"/>
      <c r="T905" s="150"/>
      <c r="U905" s="150"/>
      <c r="V905" s="150"/>
      <c r="W905" s="150"/>
      <c r="X905" s="150"/>
      <c r="Y905" s="150"/>
      <c r="Z905" s="152"/>
      <c r="AA905" s="143"/>
      <c r="AB905" s="154"/>
      <c r="AC905" s="152"/>
      <c r="AD905" s="152"/>
      <c r="AE905" s="154"/>
      <c r="AF905" s="154"/>
      <c r="AG905" s="154"/>
      <c r="AH905" s="154"/>
      <c r="AI905" s="154"/>
      <c r="AJ905" s="154"/>
      <c r="AK905" s="154"/>
      <c r="AL905" s="154"/>
      <c r="AM905" s="154"/>
      <c r="AN905" s="154"/>
      <c r="AO905" s="154"/>
      <c r="AP905" s="152"/>
      <c r="AQ905" s="154"/>
      <c r="AR905" s="154"/>
      <c r="AS905" s="154"/>
    </row>
    <row r="906" customFormat="false" ht="15" hidden="false" customHeight="false" outlineLevel="0" collapsed="false">
      <c r="A906" s="29"/>
      <c r="B906" s="147"/>
      <c r="C906" s="156"/>
      <c r="D906" s="149"/>
      <c r="E906" s="149"/>
      <c r="F906" s="149"/>
      <c r="G906" s="149"/>
      <c r="H906" s="150"/>
      <c r="I906" s="151"/>
      <c r="J906" s="151"/>
      <c r="K906" s="151"/>
      <c r="L906" s="151"/>
      <c r="M906" s="151"/>
      <c r="N906" s="151"/>
      <c r="O906" s="151"/>
      <c r="P906" s="151"/>
      <c r="Q906" s="151"/>
      <c r="R906" s="150"/>
      <c r="S906" s="150"/>
      <c r="T906" s="150"/>
      <c r="U906" s="150"/>
      <c r="V906" s="150"/>
      <c r="W906" s="150"/>
      <c r="X906" s="150"/>
      <c r="Y906" s="150"/>
      <c r="Z906" s="152"/>
      <c r="AA906" s="143"/>
      <c r="AB906" s="154"/>
      <c r="AC906" s="152"/>
      <c r="AD906" s="152"/>
      <c r="AE906" s="154"/>
      <c r="AF906" s="154"/>
      <c r="AG906" s="154"/>
      <c r="AH906" s="154"/>
      <c r="AI906" s="154"/>
      <c r="AJ906" s="154"/>
      <c r="AK906" s="154"/>
      <c r="AL906" s="154"/>
      <c r="AM906" s="154"/>
      <c r="AN906" s="154"/>
      <c r="AO906" s="154"/>
      <c r="AP906" s="152"/>
      <c r="AQ906" s="154"/>
      <c r="AR906" s="154"/>
      <c r="AS906" s="154"/>
    </row>
    <row r="907" customFormat="false" ht="15" hidden="false" customHeight="false" outlineLevel="0" collapsed="false">
      <c r="A907" s="29"/>
      <c r="B907" s="147"/>
      <c r="C907" s="148"/>
      <c r="D907" s="149"/>
      <c r="E907" s="149"/>
      <c r="F907" s="149"/>
      <c r="G907" s="149"/>
      <c r="H907" s="150"/>
      <c r="I907" s="151"/>
      <c r="J907" s="151"/>
      <c r="K907" s="151"/>
      <c r="L907" s="151"/>
      <c r="M907" s="151"/>
      <c r="N907" s="151"/>
      <c r="O907" s="151"/>
      <c r="P907" s="151"/>
      <c r="Q907" s="151"/>
      <c r="R907" s="150"/>
      <c r="S907" s="150"/>
      <c r="T907" s="150"/>
      <c r="U907" s="150"/>
      <c r="V907" s="150"/>
      <c r="W907" s="150"/>
      <c r="X907" s="150"/>
      <c r="Y907" s="150"/>
      <c r="Z907" s="152"/>
      <c r="AA907" s="143"/>
      <c r="AB907" s="153"/>
      <c r="AC907" s="152"/>
      <c r="AD907" s="152"/>
      <c r="AE907" s="154"/>
      <c r="AF907" s="154"/>
      <c r="AG907" s="154"/>
      <c r="AH907" s="154"/>
      <c r="AI907" s="154"/>
      <c r="AJ907" s="154"/>
      <c r="AK907" s="154"/>
      <c r="AL907" s="154"/>
      <c r="AM907" s="154"/>
      <c r="AN907" s="154"/>
      <c r="AO907" s="154"/>
      <c r="AP907" s="152"/>
      <c r="AQ907" s="154"/>
      <c r="AR907" s="154"/>
      <c r="AS907" s="154"/>
    </row>
    <row r="908" customFormat="false" ht="15" hidden="false" customHeight="false" outlineLevel="0" collapsed="false">
      <c r="A908" s="29"/>
      <c r="B908" s="147"/>
      <c r="C908" s="155"/>
      <c r="D908" s="149"/>
      <c r="E908" s="149"/>
      <c r="F908" s="149"/>
      <c r="G908" s="149"/>
      <c r="H908" s="150"/>
      <c r="I908" s="151"/>
      <c r="J908" s="151"/>
      <c r="K908" s="151"/>
      <c r="L908" s="151"/>
      <c r="M908" s="151"/>
      <c r="N908" s="151"/>
      <c r="O908" s="151"/>
      <c r="P908" s="151"/>
      <c r="Q908" s="151"/>
      <c r="R908" s="150"/>
      <c r="S908" s="150"/>
      <c r="T908" s="150"/>
      <c r="U908" s="150"/>
      <c r="V908" s="150"/>
      <c r="W908" s="150"/>
      <c r="X908" s="150"/>
      <c r="Y908" s="150"/>
      <c r="Z908" s="152"/>
      <c r="AA908" s="143"/>
      <c r="AB908" s="154"/>
      <c r="AC908" s="152"/>
      <c r="AD908" s="152"/>
      <c r="AE908" s="154"/>
      <c r="AF908" s="154"/>
      <c r="AG908" s="154"/>
      <c r="AH908" s="154"/>
      <c r="AI908" s="154"/>
      <c r="AJ908" s="154"/>
      <c r="AK908" s="154"/>
      <c r="AL908" s="154"/>
      <c r="AM908" s="154"/>
      <c r="AN908" s="154"/>
      <c r="AO908" s="154"/>
      <c r="AP908" s="152"/>
      <c r="AQ908" s="154"/>
      <c r="AR908" s="154"/>
      <c r="AS908" s="154"/>
    </row>
    <row r="909" customFormat="false" ht="15" hidden="false" customHeight="false" outlineLevel="0" collapsed="false">
      <c r="A909" s="29"/>
      <c r="B909" s="147"/>
      <c r="C909" s="156"/>
      <c r="D909" s="149"/>
      <c r="E909" s="149"/>
      <c r="F909" s="149"/>
      <c r="G909" s="149"/>
      <c r="H909" s="150"/>
      <c r="I909" s="151"/>
      <c r="J909" s="151"/>
      <c r="K909" s="151"/>
      <c r="L909" s="151"/>
      <c r="M909" s="151"/>
      <c r="N909" s="151"/>
      <c r="O909" s="151"/>
      <c r="P909" s="151"/>
      <c r="Q909" s="151"/>
      <c r="R909" s="150"/>
      <c r="S909" s="150"/>
      <c r="T909" s="150"/>
      <c r="U909" s="150"/>
      <c r="V909" s="150"/>
      <c r="W909" s="150"/>
      <c r="X909" s="150"/>
      <c r="Y909" s="150"/>
      <c r="Z909" s="152"/>
      <c r="AA909" s="143"/>
      <c r="AB909" s="154"/>
      <c r="AC909" s="152"/>
      <c r="AD909" s="152"/>
      <c r="AE909" s="154"/>
      <c r="AF909" s="154"/>
      <c r="AG909" s="154"/>
      <c r="AH909" s="154"/>
      <c r="AI909" s="154"/>
      <c r="AJ909" s="154"/>
      <c r="AK909" s="154"/>
      <c r="AL909" s="154"/>
      <c r="AM909" s="154"/>
      <c r="AN909" s="154"/>
      <c r="AO909" s="154"/>
      <c r="AP909" s="152"/>
      <c r="AQ909" s="154"/>
      <c r="AR909" s="154"/>
      <c r="AS909" s="154"/>
    </row>
    <row r="910" customFormat="false" ht="15" hidden="false" customHeight="false" outlineLevel="0" collapsed="false">
      <c r="A910" s="29"/>
      <c r="B910" s="147"/>
      <c r="C910" s="148"/>
      <c r="D910" s="149"/>
      <c r="E910" s="149"/>
      <c r="F910" s="149"/>
      <c r="G910" s="149"/>
      <c r="H910" s="150"/>
      <c r="I910" s="151"/>
      <c r="J910" s="151"/>
      <c r="K910" s="151"/>
      <c r="L910" s="151"/>
      <c r="M910" s="151"/>
      <c r="N910" s="151"/>
      <c r="O910" s="151"/>
      <c r="P910" s="151"/>
      <c r="Q910" s="151"/>
      <c r="R910" s="150"/>
      <c r="S910" s="150"/>
      <c r="T910" s="150"/>
      <c r="U910" s="150"/>
      <c r="V910" s="150"/>
      <c r="W910" s="150"/>
      <c r="X910" s="150"/>
      <c r="Y910" s="150"/>
      <c r="Z910" s="152"/>
      <c r="AA910" s="143"/>
      <c r="AB910" s="153"/>
      <c r="AC910" s="152"/>
      <c r="AD910" s="152"/>
      <c r="AE910" s="154"/>
      <c r="AF910" s="154"/>
      <c r="AG910" s="154"/>
      <c r="AH910" s="154"/>
      <c r="AI910" s="154"/>
      <c r="AJ910" s="154"/>
      <c r="AK910" s="154"/>
      <c r="AL910" s="154"/>
      <c r="AM910" s="154"/>
      <c r="AN910" s="154"/>
      <c r="AO910" s="154"/>
      <c r="AP910" s="152"/>
      <c r="AQ910" s="154"/>
      <c r="AR910" s="154"/>
      <c r="AS910" s="154"/>
    </row>
    <row r="911" customFormat="false" ht="15" hidden="false" customHeight="false" outlineLevel="0" collapsed="false">
      <c r="A911" s="29"/>
      <c r="B911" s="147"/>
      <c r="C911" s="155"/>
      <c r="D911" s="149"/>
      <c r="E911" s="149"/>
      <c r="F911" s="149"/>
      <c r="G911" s="149"/>
      <c r="H911" s="150"/>
      <c r="I911" s="151"/>
      <c r="J911" s="151"/>
      <c r="K911" s="151"/>
      <c r="L911" s="151"/>
      <c r="M911" s="151"/>
      <c r="N911" s="151"/>
      <c r="O911" s="151"/>
      <c r="P911" s="151"/>
      <c r="Q911" s="151"/>
      <c r="R911" s="150"/>
      <c r="S911" s="150"/>
      <c r="T911" s="150"/>
      <c r="U911" s="150"/>
      <c r="V911" s="150"/>
      <c r="W911" s="150"/>
      <c r="X911" s="150"/>
      <c r="Y911" s="150"/>
      <c r="Z911" s="152"/>
      <c r="AA911" s="143"/>
      <c r="AB911" s="154"/>
      <c r="AC911" s="152"/>
      <c r="AD911" s="152"/>
      <c r="AE911" s="154"/>
      <c r="AF911" s="154"/>
      <c r="AG911" s="154"/>
      <c r="AH911" s="154"/>
      <c r="AI911" s="154"/>
      <c r="AJ911" s="154"/>
      <c r="AK911" s="154"/>
      <c r="AL911" s="154"/>
      <c r="AM911" s="154"/>
      <c r="AN911" s="154"/>
      <c r="AO911" s="154"/>
      <c r="AP911" s="152"/>
      <c r="AQ911" s="154"/>
      <c r="AR911" s="154"/>
      <c r="AS911" s="154"/>
    </row>
    <row r="912" customFormat="false" ht="15" hidden="false" customHeight="false" outlineLevel="0" collapsed="false">
      <c r="A912" s="29"/>
      <c r="B912" s="147"/>
      <c r="C912" s="156"/>
      <c r="D912" s="149"/>
      <c r="E912" s="149"/>
      <c r="F912" s="149"/>
      <c r="G912" s="149"/>
      <c r="H912" s="150"/>
      <c r="I912" s="151"/>
      <c r="J912" s="151"/>
      <c r="K912" s="151"/>
      <c r="L912" s="151"/>
      <c r="M912" s="151"/>
      <c r="N912" s="151"/>
      <c r="O912" s="151"/>
      <c r="P912" s="151"/>
      <c r="Q912" s="151"/>
      <c r="R912" s="150"/>
      <c r="S912" s="150"/>
      <c r="T912" s="150"/>
      <c r="U912" s="150"/>
      <c r="V912" s="150"/>
      <c r="W912" s="150"/>
      <c r="X912" s="150"/>
      <c r="Y912" s="150"/>
      <c r="Z912" s="152"/>
      <c r="AA912" s="143"/>
      <c r="AB912" s="154"/>
      <c r="AC912" s="152"/>
      <c r="AD912" s="152"/>
      <c r="AE912" s="154"/>
      <c r="AF912" s="154"/>
      <c r="AG912" s="154"/>
      <c r="AH912" s="154"/>
      <c r="AI912" s="154"/>
      <c r="AJ912" s="154"/>
      <c r="AK912" s="154"/>
      <c r="AL912" s="154"/>
      <c r="AM912" s="154"/>
      <c r="AN912" s="154"/>
      <c r="AO912" s="154"/>
      <c r="AP912" s="152"/>
      <c r="AQ912" s="154"/>
      <c r="AR912" s="154"/>
      <c r="AS912" s="154"/>
    </row>
    <row r="913" customFormat="false" ht="15" hidden="false" customHeight="false" outlineLevel="0" collapsed="false">
      <c r="A913" s="29"/>
      <c r="B913" s="147"/>
      <c r="C913" s="148"/>
      <c r="D913" s="149"/>
      <c r="E913" s="149"/>
      <c r="F913" s="149"/>
      <c r="G913" s="149"/>
      <c r="H913" s="150"/>
      <c r="I913" s="151"/>
      <c r="J913" s="151"/>
      <c r="K913" s="151"/>
      <c r="L913" s="151"/>
      <c r="M913" s="151"/>
      <c r="N913" s="151"/>
      <c r="O913" s="151"/>
      <c r="P913" s="151"/>
      <c r="Q913" s="151"/>
      <c r="R913" s="150"/>
      <c r="S913" s="150"/>
      <c r="T913" s="150"/>
      <c r="U913" s="150"/>
      <c r="V913" s="150"/>
      <c r="W913" s="150"/>
      <c r="X913" s="150"/>
      <c r="Y913" s="150"/>
      <c r="Z913" s="152"/>
      <c r="AA913" s="143"/>
      <c r="AB913" s="153"/>
      <c r="AC913" s="152"/>
      <c r="AD913" s="152"/>
      <c r="AE913" s="154"/>
      <c r="AF913" s="154"/>
      <c r="AG913" s="154"/>
      <c r="AH913" s="154"/>
      <c r="AI913" s="154"/>
      <c r="AJ913" s="154"/>
      <c r="AK913" s="154"/>
      <c r="AL913" s="154"/>
      <c r="AM913" s="154"/>
      <c r="AN913" s="154"/>
      <c r="AO913" s="154"/>
      <c r="AP913" s="152"/>
      <c r="AQ913" s="154"/>
      <c r="AR913" s="154"/>
      <c r="AS913" s="154"/>
    </row>
    <row r="914" customFormat="false" ht="15" hidden="false" customHeight="false" outlineLevel="0" collapsed="false">
      <c r="A914" s="29"/>
      <c r="B914" s="147"/>
      <c r="C914" s="155"/>
      <c r="D914" s="149"/>
      <c r="E914" s="149"/>
      <c r="F914" s="149"/>
      <c r="G914" s="149"/>
      <c r="H914" s="150"/>
      <c r="I914" s="151"/>
      <c r="J914" s="151"/>
      <c r="K914" s="151"/>
      <c r="L914" s="151"/>
      <c r="M914" s="151"/>
      <c r="N914" s="151"/>
      <c r="O914" s="151"/>
      <c r="P914" s="151"/>
      <c r="Q914" s="151"/>
      <c r="R914" s="150"/>
      <c r="S914" s="150"/>
      <c r="T914" s="150"/>
      <c r="U914" s="150"/>
      <c r="V914" s="150"/>
      <c r="W914" s="150"/>
      <c r="X914" s="150"/>
      <c r="Y914" s="150"/>
      <c r="Z914" s="152"/>
      <c r="AA914" s="143"/>
      <c r="AB914" s="154"/>
      <c r="AC914" s="152"/>
      <c r="AD914" s="152"/>
      <c r="AE914" s="154"/>
      <c r="AF914" s="154"/>
      <c r="AG914" s="154"/>
      <c r="AH914" s="154"/>
      <c r="AI914" s="154"/>
      <c r="AJ914" s="154"/>
      <c r="AK914" s="154"/>
      <c r="AL914" s="154"/>
      <c r="AM914" s="154"/>
      <c r="AN914" s="154"/>
      <c r="AO914" s="154"/>
      <c r="AP914" s="152"/>
      <c r="AQ914" s="154"/>
      <c r="AR914" s="154"/>
      <c r="AS914" s="154"/>
    </row>
    <row r="915" customFormat="false" ht="15" hidden="false" customHeight="false" outlineLevel="0" collapsed="false">
      <c r="A915" s="29"/>
      <c r="B915" s="147"/>
      <c r="C915" s="156"/>
      <c r="D915" s="149"/>
      <c r="E915" s="149"/>
      <c r="F915" s="149"/>
      <c r="G915" s="149"/>
      <c r="H915" s="150"/>
      <c r="I915" s="151"/>
      <c r="J915" s="151"/>
      <c r="K915" s="151"/>
      <c r="L915" s="151"/>
      <c r="M915" s="151"/>
      <c r="N915" s="151"/>
      <c r="O915" s="151"/>
      <c r="P915" s="151"/>
      <c r="Q915" s="151"/>
      <c r="R915" s="150"/>
      <c r="S915" s="150"/>
      <c r="T915" s="150"/>
      <c r="U915" s="150"/>
      <c r="V915" s="150"/>
      <c r="W915" s="150"/>
      <c r="X915" s="150"/>
      <c r="Y915" s="150"/>
      <c r="Z915" s="152"/>
      <c r="AA915" s="143"/>
      <c r="AB915" s="154"/>
      <c r="AC915" s="152"/>
      <c r="AD915" s="152"/>
      <c r="AE915" s="154"/>
      <c r="AF915" s="154"/>
      <c r="AG915" s="154"/>
      <c r="AH915" s="154"/>
      <c r="AI915" s="154"/>
      <c r="AJ915" s="154"/>
      <c r="AK915" s="154"/>
      <c r="AL915" s="154"/>
      <c r="AM915" s="154"/>
      <c r="AN915" s="154"/>
      <c r="AO915" s="154"/>
      <c r="AP915" s="152"/>
      <c r="AQ915" s="154"/>
      <c r="AR915" s="154"/>
      <c r="AS915" s="154"/>
    </row>
    <row r="916" customFormat="false" ht="15" hidden="false" customHeight="false" outlineLevel="0" collapsed="false">
      <c r="A916" s="29"/>
      <c r="B916" s="147"/>
      <c r="C916" s="148"/>
      <c r="D916" s="149"/>
      <c r="E916" s="149"/>
      <c r="F916" s="149"/>
      <c r="G916" s="149"/>
      <c r="H916" s="150"/>
      <c r="I916" s="151"/>
      <c r="J916" s="151"/>
      <c r="K916" s="151"/>
      <c r="L916" s="151"/>
      <c r="M916" s="151"/>
      <c r="N916" s="151"/>
      <c r="O916" s="151"/>
      <c r="P916" s="151"/>
      <c r="Q916" s="151"/>
      <c r="R916" s="150"/>
      <c r="S916" s="150"/>
      <c r="T916" s="150"/>
      <c r="U916" s="150"/>
      <c r="V916" s="150"/>
      <c r="W916" s="150"/>
      <c r="X916" s="150"/>
      <c r="Y916" s="150"/>
      <c r="Z916" s="152"/>
      <c r="AA916" s="143"/>
      <c r="AB916" s="153"/>
      <c r="AC916" s="152"/>
      <c r="AD916" s="152"/>
      <c r="AE916" s="154"/>
      <c r="AF916" s="154"/>
      <c r="AG916" s="154"/>
      <c r="AH916" s="154"/>
      <c r="AI916" s="154"/>
      <c r="AJ916" s="154"/>
      <c r="AK916" s="154"/>
      <c r="AL916" s="154"/>
      <c r="AM916" s="154"/>
      <c r="AN916" s="154"/>
      <c r="AO916" s="154"/>
      <c r="AP916" s="152"/>
      <c r="AQ916" s="154"/>
      <c r="AR916" s="154"/>
      <c r="AS916" s="154"/>
    </row>
    <row r="917" customFormat="false" ht="15" hidden="false" customHeight="false" outlineLevel="0" collapsed="false">
      <c r="A917" s="29"/>
      <c r="B917" s="147"/>
      <c r="C917" s="155"/>
      <c r="D917" s="149"/>
      <c r="E917" s="149"/>
      <c r="F917" s="149"/>
      <c r="G917" s="149"/>
      <c r="H917" s="150"/>
      <c r="I917" s="151"/>
      <c r="J917" s="151"/>
      <c r="K917" s="151"/>
      <c r="L917" s="151"/>
      <c r="M917" s="151"/>
      <c r="N917" s="151"/>
      <c r="O917" s="151"/>
      <c r="P917" s="151"/>
      <c r="Q917" s="151"/>
      <c r="R917" s="150"/>
      <c r="S917" s="150"/>
      <c r="T917" s="150"/>
      <c r="U917" s="150"/>
      <c r="V917" s="150"/>
      <c r="W917" s="150"/>
      <c r="X917" s="150"/>
      <c r="Y917" s="150"/>
      <c r="Z917" s="152"/>
      <c r="AA917" s="143"/>
      <c r="AB917" s="154"/>
      <c r="AC917" s="152"/>
      <c r="AD917" s="152"/>
      <c r="AE917" s="154"/>
      <c r="AF917" s="154"/>
      <c r="AG917" s="154"/>
      <c r="AH917" s="154"/>
      <c r="AI917" s="154"/>
      <c r="AJ917" s="154"/>
      <c r="AK917" s="154"/>
      <c r="AL917" s="154"/>
      <c r="AM917" s="154"/>
      <c r="AN917" s="154"/>
      <c r="AO917" s="154"/>
      <c r="AP917" s="152"/>
      <c r="AQ917" s="154"/>
      <c r="AR917" s="154"/>
      <c r="AS917" s="154"/>
    </row>
    <row r="918" customFormat="false" ht="15" hidden="false" customHeight="false" outlineLevel="0" collapsed="false">
      <c r="A918" s="29"/>
      <c r="B918" s="147"/>
      <c r="C918" s="156"/>
      <c r="D918" s="149"/>
      <c r="E918" s="149"/>
      <c r="F918" s="149"/>
      <c r="G918" s="149"/>
      <c r="H918" s="150"/>
      <c r="I918" s="151"/>
      <c r="J918" s="151"/>
      <c r="K918" s="151"/>
      <c r="L918" s="151"/>
      <c r="M918" s="151"/>
      <c r="N918" s="151"/>
      <c r="O918" s="151"/>
      <c r="P918" s="151"/>
      <c r="Q918" s="151"/>
      <c r="R918" s="150"/>
      <c r="S918" s="150"/>
      <c r="T918" s="150"/>
      <c r="U918" s="150"/>
      <c r="V918" s="150"/>
      <c r="W918" s="150"/>
      <c r="X918" s="150"/>
      <c r="Y918" s="150"/>
      <c r="Z918" s="152"/>
      <c r="AA918" s="143"/>
      <c r="AB918" s="154"/>
      <c r="AC918" s="152"/>
      <c r="AD918" s="152"/>
      <c r="AE918" s="154"/>
      <c r="AF918" s="154"/>
      <c r="AG918" s="154"/>
      <c r="AH918" s="154"/>
      <c r="AI918" s="154"/>
      <c r="AJ918" s="154"/>
      <c r="AK918" s="154"/>
      <c r="AL918" s="154"/>
      <c r="AM918" s="154"/>
      <c r="AN918" s="154"/>
      <c r="AO918" s="154"/>
      <c r="AP918" s="152"/>
      <c r="AQ918" s="154"/>
      <c r="AR918" s="154"/>
      <c r="AS918" s="154"/>
    </row>
    <row r="919" customFormat="false" ht="15" hidden="false" customHeight="false" outlineLevel="0" collapsed="false">
      <c r="A919" s="29"/>
      <c r="B919" s="147"/>
      <c r="C919" s="148"/>
      <c r="D919" s="149"/>
      <c r="E919" s="149"/>
      <c r="F919" s="149"/>
      <c r="G919" s="149"/>
      <c r="H919" s="150"/>
      <c r="I919" s="151"/>
      <c r="J919" s="151"/>
      <c r="K919" s="151"/>
      <c r="L919" s="151"/>
      <c r="M919" s="151"/>
      <c r="N919" s="151"/>
      <c r="O919" s="151"/>
      <c r="P919" s="151"/>
      <c r="Q919" s="151"/>
      <c r="R919" s="150"/>
      <c r="S919" s="150"/>
      <c r="T919" s="150"/>
      <c r="U919" s="150"/>
      <c r="V919" s="150"/>
      <c r="W919" s="150"/>
      <c r="X919" s="150"/>
      <c r="Y919" s="150"/>
      <c r="Z919" s="152"/>
      <c r="AA919" s="143"/>
      <c r="AB919" s="153"/>
      <c r="AC919" s="152"/>
      <c r="AD919" s="152"/>
      <c r="AE919" s="154"/>
      <c r="AF919" s="154"/>
      <c r="AG919" s="154"/>
      <c r="AH919" s="154"/>
      <c r="AI919" s="154"/>
      <c r="AJ919" s="154"/>
      <c r="AK919" s="154"/>
      <c r="AL919" s="154"/>
      <c r="AM919" s="154"/>
      <c r="AN919" s="154"/>
      <c r="AO919" s="154"/>
      <c r="AP919" s="152"/>
      <c r="AQ919" s="154"/>
      <c r="AR919" s="154"/>
      <c r="AS919" s="154"/>
    </row>
    <row r="920" customFormat="false" ht="15" hidden="false" customHeight="false" outlineLevel="0" collapsed="false">
      <c r="A920" s="29"/>
      <c r="B920" s="147"/>
      <c r="C920" s="155"/>
      <c r="D920" s="149"/>
      <c r="E920" s="149"/>
      <c r="F920" s="149"/>
      <c r="G920" s="149"/>
      <c r="H920" s="150"/>
      <c r="I920" s="151"/>
      <c r="J920" s="151"/>
      <c r="K920" s="151"/>
      <c r="L920" s="151"/>
      <c r="M920" s="151"/>
      <c r="N920" s="151"/>
      <c r="O920" s="151"/>
      <c r="P920" s="151"/>
      <c r="Q920" s="151"/>
      <c r="R920" s="150"/>
      <c r="S920" s="150"/>
      <c r="T920" s="150"/>
      <c r="U920" s="150"/>
      <c r="V920" s="150"/>
      <c r="W920" s="150"/>
      <c r="X920" s="150"/>
      <c r="Y920" s="150"/>
      <c r="Z920" s="152"/>
      <c r="AA920" s="143"/>
      <c r="AB920" s="154"/>
      <c r="AC920" s="152"/>
      <c r="AD920" s="152"/>
      <c r="AE920" s="154"/>
      <c r="AF920" s="154"/>
      <c r="AG920" s="154"/>
      <c r="AH920" s="154"/>
      <c r="AI920" s="154"/>
      <c r="AJ920" s="154"/>
      <c r="AK920" s="154"/>
      <c r="AL920" s="154"/>
      <c r="AM920" s="154"/>
      <c r="AN920" s="154"/>
      <c r="AO920" s="154"/>
      <c r="AP920" s="152"/>
      <c r="AQ920" s="154"/>
      <c r="AR920" s="154"/>
      <c r="AS920" s="154"/>
    </row>
    <row r="921" customFormat="false" ht="15" hidden="false" customHeight="false" outlineLevel="0" collapsed="false">
      <c r="A921" s="29"/>
      <c r="B921" s="147"/>
      <c r="C921" s="156"/>
      <c r="D921" s="149"/>
      <c r="E921" s="149"/>
      <c r="F921" s="149"/>
      <c r="G921" s="149"/>
      <c r="H921" s="150"/>
      <c r="I921" s="151"/>
      <c r="J921" s="151"/>
      <c r="K921" s="151"/>
      <c r="L921" s="151"/>
      <c r="M921" s="151"/>
      <c r="N921" s="151"/>
      <c r="O921" s="151"/>
      <c r="P921" s="151"/>
      <c r="Q921" s="151"/>
      <c r="R921" s="150"/>
      <c r="S921" s="150"/>
      <c r="T921" s="150"/>
      <c r="U921" s="150"/>
      <c r="V921" s="150"/>
      <c r="W921" s="150"/>
      <c r="X921" s="150"/>
      <c r="Y921" s="150"/>
      <c r="Z921" s="152"/>
      <c r="AA921" s="143"/>
      <c r="AB921" s="154"/>
      <c r="AC921" s="152"/>
      <c r="AD921" s="152"/>
      <c r="AE921" s="154"/>
      <c r="AF921" s="154"/>
      <c r="AG921" s="154"/>
      <c r="AH921" s="154"/>
      <c r="AI921" s="154"/>
      <c r="AJ921" s="154"/>
      <c r="AK921" s="154"/>
      <c r="AL921" s="154"/>
      <c r="AM921" s="154"/>
      <c r="AN921" s="154"/>
      <c r="AO921" s="154"/>
      <c r="AP921" s="152"/>
      <c r="AQ921" s="154"/>
      <c r="AR921" s="154"/>
      <c r="AS921" s="154"/>
    </row>
    <row r="922" customFormat="false" ht="15" hidden="false" customHeight="false" outlineLevel="0" collapsed="false">
      <c r="A922" s="29"/>
      <c r="B922" s="147"/>
      <c r="C922" s="148"/>
      <c r="D922" s="149"/>
      <c r="E922" s="149"/>
      <c r="F922" s="149"/>
      <c r="G922" s="149"/>
      <c r="H922" s="150"/>
      <c r="I922" s="151"/>
      <c r="J922" s="151"/>
      <c r="K922" s="151"/>
      <c r="L922" s="151"/>
      <c r="M922" s="151"/>
      <c r="N922" s="151"/>
      <c r="O922" s="151"/>
      <c r="P922" s="151"/>
      <c r="Q922" s="151"/>
      <c r="R922" s="150"/>
      <c r="S922" s="150"/>
      <c r="T922" s="150"/>
      <c r="U922" s="150"/>
      <c r="V922" s="150"/>
      <c r="W922" s="150"/>
      <c r="X922" s="150"/>
      <c r="Y922" s="150"/>
      <c r="Z922" s="152"/>
      <c r="AA922" s="143"/>
      <c r="AB922" s="153"/>
      <c r="AC922" s="152"/>
      <c r="AD922" s="152"/>
      <c r="AE922" s="154"/>
      <c r="AF922" s="154"/>
      <c r="AG922" s="154"/>
      <c r="AH922" s="154"/>
      <c r="AI922" s="154"/>
      <c r="AJ922" s="154"/>
      <c r="AK922" s="154"/>
      <c r="AL922" s="154"/>
      <c r="AM922" s="154"/>
      <c r="AN922" s="154"/>
      <c r="AO922" s="154"/>
      <c r="AP922" s="152"/>
      <c r="AQ922" s="154"/>
      <c r="AR922" s="154"/>
      <c r="AS922" s="154"/>
    </row>
    <row r="923" customFormat="false" ht="15" hidden="false" customHeight="false" outlineLevel="0" collapsed="false">
      <c r="A923" s="29"/>
      <c r="B923" s="147"/>
      <c r="C923" s="155"/>
      <c r="D923" s="149"/>
      <c r="E923" s="149"/>
      <c r="F923" s="149"/>
      <c r="G923" s="149"/>
      <c r="H923" s="150"/>
      <c r="I923" s="151"/>
      <c r="J923" s="151"/>
      <c r="K923" s="151"/>
      <c r="L923" s="151"/>
      <c r="M923" s="151"/>
      <c r="N923" s="151"/>
      <c r="O923" s="151"/>
      <c r="P923" s="151"/>
      <c r="Q923" s="151"/>
      <c r="R923" s="150"/>
      <c r="S923" s="150"/>
      <c r="T923" s="150"/>
      <c r="U923" s="150"/>
      <c r="V923" s="150"/>
      <c r="W923" s="150"/>
      <c r="X923" s="150"/>
      <c r="Y923" s="150"/>
      <c r="Z923" s="152"/>
      <c r="AA923" s="143"/>
      <c r="AB923" s="154"/>
      <c r="AC923" s="152"/>
      <c r="AD923" s="152"/>
      <c r="AE923" s="154"/>
      <c r="AF923" s="154"/>
      <c r="AG923" s="154"/>
      <c r="AH923" s="154"/>
      <c r="AI923" s="154"/>
      <c r="AJ923" s="154"/>
      <c r="AK923" s="154"/>
      <c r="AL923" s="154"/>
      <c r="AM923" s="154"/>
      <c r="AN923" s="154"/>
      <c r="AO923" s="154"/>
      <c r="AP923" s="152"/>
      <c r="AQ923" s="154"/>
      <c r="AR923" s="154"/>
      <c r="AS923" s="154"/>
    </row>
    <row r="924" customFormat="false" ht="15" hidden="false" customHeight="false" outlineLevel="0" collapsed="false">
      <c r="A924" s="29"/>
      <c r="B924" s="147"/>
      <c r="C924" s="156"/>
      <c r="D924" s="149"/>
      <c r="E924" s="149"/>
      <c r="F924" s="149"/>
      <c r="G924" s="149"/>
      <c r="H924" s="150"/>
      <c r="I924" s="151"/>
      <c r="J924" s="151"/>
      <c r="K924" s="151"/>
      <c r="L924" s="151"/>
      <c r="M924" s="151"/>
      <c r="N924" s="151"/>
      <c r="O924" s="151"/>
      <c r="P924" s="151"/>
      <c r="Q924" s="151"/>
      <c r="R924" s="150"/>
      <c r="S924" s="150"/>
      <c r="T924" s="150"/>
      <c r="U924" s="150"/>
      <c r="V924" s="150"/>
      <c r="W924" s="150"/>
      <c r="X924" s="150"/>
      <c r="Y924" s="150"/>
      <c r="Z924" s="152"/>
      <c r="AA924" s="143"/>
      <c r="AB924" s="154"/>
      <c r="AC924" s="152"/>
      <c r="AD924" s="152"/>
      <c r="AE924" s="154"/>
      <c r="AF924" s="154"/>
      <c r="AG924" s="154"/>
      <c r="AH924" s="154"/>
      <c r="AI924" s="154"/>
      <c r="AJ924" s="154"/>
      <c r="AK924" s="154"/>
      <c r="AL924" s="154"/>
      <c r="AM924" s="154"/>
      <c r="AN924" s="154"/>
      <c r="AO924" s="154"/>
      <c r="AP924" s="152"/>
      <c r="AQ924" s="154"/>
      <c r="AR924" s="154"/>
      <c r="AS924" s="154"/>
    </row>
    <row r="925" customFormat="false" ht="15" hidden="false" customHeight="false" outlineLevel="0" collapsed="false">
      <c r="A925" s="29"/>
      <c r="B925" s="147"/>
      <c r="C925" s="148"/>
      <c r="D925" s="149"/>
      <c r="E925" s="149"/>
      <c r="F925" s="149"/>
      <c r="G925" s="149"/>
      <c r="H925" s="150"/>
      <c r="I925" s="151"/>
      <c r="J925" s="151"/>
      <c r="K925" s="151"/>
      <c r="L925" s="151"/>
      <c r="M925" s="151"/>
      <c r="N925" s="151"/>
      <c r="O925" s="151"/>
      <c r="P925" s="151"/>
      <c r="Q925" s="151"/>
      <c r="R925" s="150"/>
      <c r="S925" s="150"/>
      <c r="T925" s="150"/>
      <c r="U925" s="150"/>
      <c r="V925" s="150"/>
      <c r="W925" s="150"/>
      <c r="X925" s="150"/>
      <c r="Y925" s="150"/>
      <c r="Z925" s="152"/>
      <c r="AA925" s="143"/>
      <c r="AB925" s="153"/>
      <c r="AC925" s="152"/>
      <c r="AD925" s="152"/>
      <c r="AE925" s="154"/>
      <c r="AF925" s="154"/>
      <c r="AG925" s="154"/>
      <c r="AH925" s="154"/>
      <c r="AI925" s="154"/>
      <c r="AJ925" s="154"/>
      <c r="AK925" s="154"/>
      <c r="AL925" s="154"/>
      <c r="AM925" s="154"/>
      <c r="AN925" s="154"/>
      <c r="AO925" s="154"/>
      <c r="AP925" s="152"/>
      <c r="AQ925" s="154"/>
      <c r="AR925" s="154"/>
      <c r="AS925" s="154"/>
    </row>
    <row r="926" customFormat="false" ht="15" hidden="false" customHeight="false" outlineLevel="0" collapsed="false">
      <c r="A926" s="29"/>
      <c r="B926" s="147"/>
      <c r="C926" s="155"/>
      <c r="D926" s="149"/>
      <c r="E926" s="149"/>
      <c r="F926" s="149"/>
      <c r="G926" s="149"/>
      <c r="H926" s="150"/>
      <c r="I926" s="151"/>
      <c r="J926" s="151"/>
      <c r="K926" s="151"/>
      <c r="L926" s="151"/>
      <c r="M926" s="151"/>
      <c r="N926" s="151"/>
      <c r="O926" s="151"/>
      <c r="P926" s="151"/>
      <c r="Q926" s="151"/>
      <c r="R926" s="150"/>
      <c r="S926" s="150"/>
      <c r="T926" s="150"/>
      <c r="U926" s="150"/>
      <c r="V926" s="150"/>
      <c r="W926" s="150"/>
      <c r="X926" s="150"/>
      <c r="Y926" s="150"/>
      <c r="Z926" s="152"/>
      <c r="AA926" s="143"/>
      <c r="AB926" s="154"/>
      <c r="AC926" s="152"/>
      <c r="AD926" s="152"/>
      <c r="AE926" s="154"/>
      <c r="AF926" s="154"/>
      <c r="AG926" s="154"/>
      <c r="AH926" s="154"/>
      <c r="AI926" s="154"/>
      <c r="AJ926" s="154"/>
      <c r="AK926" s="154"/>
      <c r="AL926" s="154"/>
      <c r="AM926" s="154"/>
      <c r="AN926" s="154"/>
      <c r="AO926" s="154"/>
      <c r="AP926" s="152"/>
      <c r="AQ926" s="154"/>
      <c r="AR926" s="154"/>
      <c r="AS926" s="154"/>
    </row>
    <row r="927" customFormat="false" ht="15" hidden="false" customHeight="false" outlineLevel="0" collapsed="false">
      <c r="A927" s="29"/>
      <c r="B927" s="147"/>
      <c r="C927" s="156"/>
      <c r="D927" s="149"/>
      <c r="E927" s="149"/>
      <c r="F927" s="149"/>
      <c r="G927" s="149"/>
      <c r="H927" s="150"/>
      <c r="I927" s="151"/>
      <c r="J927" s="151"/>
      <c r="K927" s="151"/>
      <c r="L927" s="151"/>
      <c r="M927" s="151"/>
      <c r="N927" s="151"/>
      <c r="O927" s="151"/>
      <c r="P927" s="151"/>
      <c r="Q927" s="151"/>
      <c r="R927" s="150"/>
      <c r="S927" s="150"/>
      <c r="T927" s="150"/>
      <c r="U927" s="150"/>
      <c r="V927" s="150"/>
      <c r="W927" s="150"/>
      <c r="X927" s="150"/>
      <c r="Y927" s="150"/>
      <c r="Z927" s="152"/>
      <c r="AA927" s="143"/>
      <c r="AB927" s="154"/>
      <c r="AC927" s="152"/>
      <c r="AD927" s="152"/>
      <c r="AE927" s="154"/>
      <c r="AF927" s="154"/>
      <c r="AG927" s="154"/>
      <c r="AH927" s="154"/>
      <c r="AI927" s="154"/>
      <c r="AJ927" s="154"/>
      <c r="AK927" s="154"/>
      <c r="AL927" s="154"/>
      <c r="AM927" s="154"/>
      <c r="AN927" s="154"/>
      <c r="AO927" s="154"/>
      <c r="AP927" s="152"/>
      <c r="AQ927" s="154"/>
      <c r="AR927" s="154"/>
      <c r="AS927" s="154"/>
    </row>
    <row r="928" customFormat="false" ht="15" hidden="false" customHeight="false" outlineLevel="0" collapsed="false">
      <c r="A928" s="29"/>
      <c r="B928" s="147"/>
      <c r="C928" s="148"/>
      <c r="D928" s="149"/>
      <c r="E928" s="149"/>
      <c r="F928" s="149"/>
      <c r="G928" s="149"/>
      <c r="H928" s="150"/>
      <c r="I928" s="151"/>
      <c r="J928" s="151"/>
      <c r="K928" s="151"/>
      <c r="L928" s="151"/>
      <c r="M928" s="151"/>
      <c r="N928" s="151"/>
      <c r="O928" s="151"/>
      <c r="P928" s="151"/>
      <c r="Q928" s="151"/>
      <c r="R928" s="150"/>
      <c r="S928" s="150"/>
      <c r="T928" s="150"/>
      <c r="U928" s="150"/>
      <c r="V928" s="150"/>
      <c r="W928" s="150"/>
      <c r="X928" s="150"/>
      <c r="Y928" s="150"/>
      <c r="Z928" s="152"/>
      <c r="AA928" s="143"/>
      <c r="AB928" s="153"/>
      <c r="AC928" s="152"/>
      <c r="AD928" s="152"/>
      <c r="AE928" s="154"/>
      <c r="AF928" s="154"/>
      <c r="AG928" s="154"/>
      <c r="AH928" s="154"/>
      <c r="AI928" s="154"/>
      <c r="AJ928" s="154"/>
      <c r="AK928" s="154"/>
      <c r="AL928" s="154"/>
      <c r="AM928" s="154"/>
      <c r="AN928" s="154"/>
      <c r="AO928" s="154"/>
      <c r="AP928" s="152"/>
      <c r="AQ928" s="154"/>
      <c r="AR928" s="154"/>
      <c r="AS928" s="154"/>
    </row>
    <row r="929" customFormat="false" ht="15" hidden="false" customHeight="false" outlineLevel="0" collapsed="false">
      <c r="A929" s="29"/>
      <c r="B929" s="147"/>
      <c r="C929" s="155"/>
      <c r="D929" s="149"/>
      <c r="E929" s="149"/>
      <c r="F929" s="149"/>
      <c r="G929" s="149"/>
      <c r="H929" s="150"/>
      <c r="I929" s="151"/>
      <c r="J929" s="151"/>
      <c r="K929" s="151"/>
      <c r="L929" s="151"/>
      <c r="M929" s="151"/>
      <c r="N929" s="151"/>
      <c r="O929" s="151"/>
      <c r="P929" s="151"/>
      <c r="Q929" s="151"/>
      <c r="R929" s="150"/>
      <c r="S929" s="150"/>
      <c r="T929" s="150"/>
      <c r="U929" s="150"/>
      <c r="V929" s="150"/>
      <c r="W929" s="150"/>
      <c r="X929" s="150"/>
      <c r="Y929" s="150"/>
      <c r="Z929" s="152"/>
      <c r="AA929" s="143"/>
      <c r="AB929" s="154"/>
      <c r="AC929" s="152"/>
      <c r="AD929" s="152"/>
      <c r="AE929" s="154"/>
      <c r="AF929" s="154"/>
      <c r="AG929" s="154"/>
      <c r="AH929" s="154"/>
      <c r="AI929" s="154"/>
      <c r="AJ929" s="154"/>
      <c r="AK929" s="154"/>
      <c r="AL929" s="154"/>
      <c r="AM929" s="154"/>
      <c r="AN929" s="154"/>
      <c r="AO929" s="154"/>
      <c r="AP929" s="152"/>
      <c r="AQ929" s="154"/>
      <c r="AR929" s="154"/>
      <c r="AS929" s="154"/>
    </row>
    <row r="930" customFormat="false" ht="15" hidden="false" customHeight="false" outlineLevel="0" collapsed="false">
      <c r="A930" s="29"/>
      <c r="B930" s="147"/>
      <c r="C930" s="156"/>
      <c r="D930" s="149"/>
      <c r="E930" s="149"/>
      <c r="F930" s="149"/>
      <c r="G930" s="149"/>
      <c r="H930" s="150"/>
      <c r="I930" s="151"/>
      <c r="J930" s="151"/>
      <c r="K930" s="151"/>
      <c r="L930" s="151"/>
      <c r="M930" s="151"/>
      <c r="N930" s="151"/>
      <c r="O930" s="151"/>
      <c r="P930" s="151"/>
      <c r="Q930" s="151"/>
      <c r="R930" s="150"/>
      <c r="S930" s="150"/>
      <c r="T930" s="150"/>
      <c r="U930" s="150"/>
      <c r="V930" s="150"/>
      <c r="W930" s="150"/>
      <c r="X930" s="150"/>
      <c r="Y930" s="150"/>
      <c r="Z930" s="152"/>
      <c r="AA930" s="143"/>
      <c r="AB930" s="154"/>
      <c r="AC930" s="152"/>
      <c r="AD930" s="152"/>
      <c r="AE930" s="154"/>
      <c r="AF930" s="154"/>
      <c r="AG930" s="154"/>
      <c r="AH930" s="154"/>
      <c r="AI930" s="154"/>
      <c r="AJ930" s="154"/>
      <c r="AK930" s="154"/>
      <c r="AL930" s="154"/>
      <c r="AM930" s="154"/>
      <c r="AN930" s="154"/>
      <c r="AO930" s="154"/>
      <c r="AP930" s="152"/>
      <c r="AQ930" s="154"/>
      <c r="AR930" s="154"/>
      <c r="AS930" s="154"/>
    </row>
    <row r="931" customFormat="false" ht="15" hidden="false" customHeight="false" outlineLevel="0" collapsed="false">
      <c r="A931" s="29"/>
      <c r="B931" s="147"/>
      <c r="C931" s="148"/>
      <c r="D931" s="149"/>
      <c r="E931" s="149"/>
      <c r="F931" s="149"/>
      <c r="G931" s="149"/>
      <c r="H931" s="150"/>
      <c r="I931" s="151"/>
      <c r="J931" s="151"/>
      <c r="K931" s="151"/>
      <c r="L931" s="151"/>
      <c r="M931" s="151"/>
      <c r="N931" s="151"/>
      <c r="O931" s="151"/>
      <c r="P931" s="151"/>
      <c r="Q931" s="151"/>
      <c r="R931" s="150"/>
      <c r="S931" s="150"/>
      <c r="T931" s="150"/>
      <c r="U931" s="150"/>
      <c r="V931" s="150"/>
      <c r="W931" s="150"/>
      <c r="X931" s="150"/>
      <c r="Y931" s="150"/>
      <c r="Z931" s="152"/>
      <c r="AA931" s="143"/>
      <c r="AB931" s="153"/>
      <c r="AC931" s="152"/>
      <c r="AD931" s="152"/>
      <c r="AE931" s="154"/>
      <c r="AF931" s="154"/>
      <c r="AG931" s="154"/>
      <c r="AH931" s="154"/>
      <c r="AI931" s="154"/>
      <c r="AJ931" s="154"/>
      <c r="AK931" s="154"/>
      <c r="AL931" s="154"/>
      <c r="AM931" s="154"/>
      <c r="AN931" s="154"/>
      <c r="AO931" s="154"/>
      <c r="AP931" s="152"/>
      <c r="AQ931" s="154"/>
      <c r="AR931" s="154"/>
      <c r="AS931" s="154"/>
    </row>
    <row r="932" customFormat="false" ht="15" hidden="false" customHeight="false" outlineLevel="0" collapsed="false">
      <c r="A932" s="29"/>
      <c r="B932" s="147"/>
      <c r="C932" s="155"/>
      <c r="D932" s="149"/>
      <c r="E932" s="149"/>
      <c r="F932" s="149"/>
      <c r="G932" s="149"/>
      <c r="H932" s="150"/>
      <c r="I932" s="151"/>
      <c r="J932" s="151"/>
      <c r="K932" s="151"/>
      <c r="L932" s="151"/>
      <c r="M932" s="151"/>
      <c r="N932" s="151"/>
      <c r="O932" s="151"/>
      <c r="P932" s="151"/>
      <c r="Q932" s="151"/>
      <c r="R932" s="150"/>
      <c r="S932" s="150"/>
      <c r="T932" s="150"/>
      <c r="U932" s="150"/>
      <c r="V932" s="150"/>
      <c r="W932" s="150"/>
      <c r="X932" s="150"/>
      <c r="Y932" s="150"/>
      <c r="Z932" s="152"/>
      <c r="AA932" s="143"/>
      <c r="AB932" s="154"/>
      <c r="AC932" s="152"/>
      <c r="AD932" s="152"/>
      <c r="AE932" s="154"/>
      <c r="AF932" s="154"/>
      <c r="AG932" s="154"/>
      <c r="AH932" s="154"/>
      <c r="AI932" s="154"/>
      <c r="AJ932" s="154"/>
      <c r="AK932" s="154"/>
      <c r="AL932" s="154"/>
      <c r="AM932" s="154"/>
      <c r="AN932" s="154"/>
      <c r="AO932" s="154"/>
      <c r="AP932" s="152"/>
      <c r="AQ932" s="154"/>
      <c r="AR932" s="154"/>
      <c r="AS932" s="154"/>
    </row>
    <row r="933" customFormat="false" ht="15" hidden="false" customHeight="false" outlineLevel="0" collapsed="false">
      <c r="A933" s="29"/>
      <c r="B933" s="147"/>
      <c r="C933" s="156"/>
      <c r="D933" s="149"/>
      <c r="E933" s="149"/>
      <c r="F933" s="149"/>
      <c r="G933" s="149"/>
      <c r="H933" s="150"/>
      <c r="I933" s="151"/>
      <c r="J933" s="151"/>
      <c r="K933" s="151"/>
      <c r="L933" s="151"/>
      <c r="M933" s="151"/>
      <c r="N933" s="151"/>
      <c r="O933" s="151"/>
      <c r="P933" s="151"/>
      <c r="Q933" s="151"/>
      <c r="R933" s="150"/>
      <c r="S933" s="150"/>
      <c r="T933" s="150"/>
      <c r="U933" s="150"/>
      <c r="V933" s="150"/>
      <c r="W933" s="150"/>
      <c r="X933" s="150"/>
      <c r="Y933" s="150"/>
      <c r="Z933" s="152"/>
      <c r="AA933" s="143"/>
      <c r="AB933" s="154"/>
      <c r="AC933" s="152"/>
      <c r="AD933" s="152"/>
      <c r="AE933" s="154"/>
      <c r="AF933" s="154"/>
      <c r="AG933" s="154"/>
      <c r="AH933" s="154"/>
      <c r="AI933" s="154"/>
      <c r="AJ933" s="154"/>
      <c r="AK933" s="154"/>
      <c r="AL933" s="154"/>
      <c r="AM933" s="154"/>
      <c r="AN933" s="154"/>
      <c r="AO933" s="154"/>
      <c r="AP933" s="152"/>
      <c r="AQ933" s="154"/>
      <c r="AR933" s="154"/>
      <c r="AS933" s="154"/>
    </row>
    <row r="935" customFormat="false" ht="14.25" hidden="false" customHeight="false" outlineLevel="0" collapsed="false">
      <c r="B935" s="157"/>
      <c r="C935" s="158"/>
      <c r="D935" s="53"/>
      <c r="E935" s="53"/>
      <c r="F935" s="53"/>
      <c r="G935" s="53"/>
      <c r="H935" s="54"/>
      <c r="I935" s="55"/>
      <c r="J935" s="54"/>
      <c r="K935" s="55"/>
      <c r="L935" s="54"/>
      <c r="M935" s="54"/>
      <c r="N935" s="54"/>
      <c r="O935" s="54"/>
      <c r="P935" s="54"/>
      <c r="Q935" s="57"/>
      <c r="R935" s="54"/>
      <c r="S935" s="54"/>
      <c r="T935" s="57"/>
      <c r="U935" s="54"/>
      <c r="V935" s="54"/>
      <c r="W935" s="54"/>
      <c r="X935" s="54"/>
      <c r="Y935" s="54"/>
      <c r="Z935" s="157"/>
      <c r="AA935" s="53"/>
      <c r="AE935" s="157"/>
      <c r="AI935" s="157"/>
      <c r="AJ935" s="157"/>
      <c r="AK935" s="157"/>
      <c r="AL935" s="157"/>
    </row>
    <row r="941" customFormat="false" ht="14.25" hidden="false" customHeight="false" outlineLevel="0" collapsed="false">
      <c r="A941" s="190"/>
      <c r="B941" s="190"/>
      <c r="C941" s="190"/>
      <c r="D941" s="190"/>
      <c r="E941" s="190"/>
      <c r="F941" s="190"/>
      <c r="G941" s="190"/>
      <c r="H941" s="190"/>
      <c r="I941" s="190"/>
      <c r="J941" s="190"/>
      <c r="K941" s="190"/>
      <c r="L941" s="190"/>
      <c r="M941" s="190"/>
      <c r="N941" s="190"/>
      <c r="O941" s="190"/>
      <c r="P941" s="190"/>
      <c r="Q941" s="190"/>
      <c r="R941" s="190"/>
      <c r="S941" s="190"/>
      <c r="T941" s="190"/>
      <c r="U941" s="190"/>
      <c r="V941" s="190"/>
      <c r="W941" s="190"/>
      <c r="X941" s="190"/>
      <c r="Y941" s="190"/>
      <c r="Z941" s="190"/>
      <c r="AA941" s="190"/>
      <c r="AB941" s="190"/>
      <c r="AC941" s="190"/>
      <c r="AD941" s="190"/>
      <c r="AE941" s="190"/>
      <c r="AF941" s="190"/>
      <c r="AG941" s="190"/>
      <c r="AH941" s="190"/>
      <c r="AI941" s="190"/>
      <c r="AJ941" s="190"/>
      <c r="AK941" s="190"/>
      <c r="AL941" s="190"/>
      <c r="AM941" s="190"/>
      <c r="AN941" s="190"/>
      <c r="AO941" s="190"/>
      <c r="AP941" s="190"/>
      <c r="AQ941" s="190"/>
      <c r="AR941" s="190"/>
      <c r="AS941" s="190"/>
    </row>
    <row r="942" customFormat="false" ht="14.25" hidden="false" customHeight="false" outlineLevel="0" collapsed="false">
      <c r="A942" s="190"/>
      <c r="B942" s="190"/>
      <c r="C942" s="190"/>
      <c r="D942" s="190"/>
      <c r="E942" s="190"/>
      <c r="F942" s="190"/>
      <c r="G942" s="190"/>
      <c r="H942" s="190"/>
      <c r="I942" s="190"/>
      <c r="J942" s="190"/>
      <c r="K942" s="190"/>
      <c r="L942" s="190"/>
      <c r="M942" s="190"/>
      <c r="N942" s="190"/>
      <c r="O942" s="190"/>
      <c r="P942" s="190"/>
      <c r="Q942" s="190"/>
      <c r="R942" s="190"/>
      <c r="S942" s="190"/>
      <c r="T942" s="190"/>
      <c r="U942" s="190"/>
      <c r="V942" s="190"/>
      <c r="W942" s="190"/>
      <c r="X942" s="190"/>
      <c r="Y942" s="190"/>
      <c r="Z942" s="190"/>
      <c r="AA942" s="190"/>
      <c r="AB942" s="190"/>
      <c r="AC942" s="190"/>
      <c r="AD942" s="190"/>
      <c r="AE942" s="190"/>
      <c r="AF942" s="190"/>
      <c r="AG942" s="190"/>
      <c r="AH942" s="190"/>
      <c r="AI942" s="190"/>
      <c r="AJ942" s="190"/>
      <c r="AK942" s="190"/>
      <c r="AL942" s="190"/>
      <c r="AM942" s="190"/>
      <c r="AN942" s="190"/>
      <c r="AO942" s="190"/>
      <c r="AP942" s="190"/>
      <c r="AQ942" s="190"/>
      <c r="AR942" s="190"/>
      <c r="AS942" s="190"/>
    </row>
    <row r="950" customFormat="false" ht="14.25" hidden="false" customHeight="false" outlineLevel="0" collapsed="false">
      <c r="A950" s="105"/>
      <c r="B950" s="105"/>
      <c r="C950" s="105"/>
      <c r="D950" s="105"/>
      <c r="E950" s="105"/>
      <c r="F950" s="105"/>
      <c r="G950" s="105"/>
      <c r="H950" s="105"/>
      <c r="I950" s="105"/>
      <c r="J950" s="105"/>
      <c r="K950" s="105"/>
      <c r="L950" s="105"/>
      <c r="M950" s="105"/>
      <c r="N950" s="105"/>
      <c r="O950" s="105"/>
      <c r="P950" s="105"/>
      <c r="Q950" s="105"/>
      <c r="R950" s="105"/>
      <c r="S950" s="105"/>
      <c r="T950" s="105"/>
      <c r="U950" s="105"/>
      <c r="V950" s="105"/>
      <c r="W950" s="105"/>
      <c r="X950" s="105"/>
      <c r="Y950" s="105"/>
      <c r="Z950" s="105"/>
      <c r="AA950" s="105"/>
      <c r="AB950" s="105"/>
      <c r="AC950" s="105"/>
      <c r="AD950" s="105"/>
      <c r="AE950" s="105"/>
      <c r="AF950" s="105"/>
      <c r="AG950" s="105"/>
      <c r="AH950" s="105"/>
      <c r="AI950" s="105"/>
      <c r="AJ950" s="105"/>
      <c r="AK950" s="105"/>
      <c r="AL950" s="105"/>
      <c r="AM950" s="105"/>
      <c r="AN950" s="105"/>
      <c r="AO950" s="105"/>
      <c r="AP950" s="105"/>
      <c r="AQ950" s="105"/>
      <c r="AR950" s="105"/>
      <c r="AS950" s="105"/>
    </row>
    <row r="951" customFormat="false" ht="14.25" hidden="false" customHeight="false" outlineLevel="0" collapsed="false">
      <c r="A951" s="105"/>
      <c r="B951" s="105"/>
      <c r="C951" s="105"/>
      <c r="D951" s="105"/>
      <c r="E951" s="105"/>
      <c r="F951" s="105"/>
      <c r="G951" s="105"/>
      <c r="H951" s="105"/>
      <c r="I951" s="105"/>
      <c r="J951" s="105"/>
      <c r="K951" s="105"/>
      <c r="L951" s="105"/>
      <c r="M951" s="105"/>
      <c r="N951" s="105"/>
      <c r="O951" s="105"/>
      <c r="P951" s="105"/>
      <c r="Q951" s="105"/>
      <c r="R951" s="105"/>
      <c r="S951" s="105"/>
      <c r="T951" s="105"/>
      <c r="U951" s="105"/>
      <c r="V951" s="105"/>
      <c r="W951" s="105"/>
      <c r="X951" s="105"/>
      <c r="Y951" s="105"/>
      <c r="Z951" s="105"/>
      <c r="AA951" s="105"/>
      <c r="AB951" s="105"/>
      <c r="AC951" s="105"/>
      <c r="AD951" s="105"/>
      <c r="AE951" s="105"/>
      <c r="AF951" s="105"/>
      <c r="AG951" s="105"/>
      <c r="AH951" s="105"/>
      <c r="AI951" s="105"/>
      <c r="AJ951" s="105"/>
      <c r="AK951" s="105"/>
      <c r="AL951" s="105"/>
      <c r="AM951" s="105"/>
      <c r="AN951" s="105"/>
      <c r="AO951" s="105"/>
      <c r="AP951" s="105"/>
      <c r="AQ951" s="105"/>
      <c r="AR951" s="105"/>
      <c r="AS951" s="105"/>
    </row>
    <row r="952" customFormat="false" ht="17.25" hidden="false" customHeight="false" outlineLevel="0" collapsed="false">
      <c r="A952" s="106"/>
      <c r="B952" s="106"/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  <c r="Y952" s="106"/>
      <c r="Z952" s="106"/>
      <c r="AA952" s="106"/>
      <c r="AB952" s="106"/>
      <c r="AC952" s="106"/>
      <c r="AD952" s="106"/>
      <c r="AE952" s="106"/>
      <c r="AF952" s="106"/>
      <c r="AG952" s="106"/>
      <c r="AH952" s="106"/>
      <c r="AI952" s="106"/>
      <c r="AJ952" s="106"/>
      <c r="AK952" s="106"/>
      <c r="AL952" s="106"/>
      <c r="AM952" s="106"/>
      <c r="AN952" s="106"/>
      <c r="AO952" s="106"/>
      <c r="AP952" s="106"/>
      <c r="AQ952" s="106"/>
      <c r="AR952" s="106"/>
      <c r="AS952" s="106"/>
    </row>
    <row r="953" customFormat="false" ht="15" hidden="false" customHeight="false" outlineLevel="0" collapsed="false">
      <c r="A953" s="107"/>
      <c r="B953" s="107"/>
      <c r="C953" s="108"/>
      <c r="D953" s="109"/>
      <c r="E953" s="109"/>
      <c r="F953" s="109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  <c r="Y953" s="109"/>
      <c r="Z953" s="109"/>
      <c r="AA953" s="110"/>
      <c r="AB953" s="111"/>
      <c r="AC953" s="111"/>
      <c r="AD953" s="111"/>
      <c r="AE953" s="111"/>
      <c r="AF953" s="111"/>
      <c r="AG953" s="111"/>
      <c r="AH953" s="111"/>
      <c r="AI953" s="111"/>
      <c r="AJ953" s="111"/>
      <c r="AK953" s="111"/>
      <c r="AL953" s="111"/>
      <c r="AM953" s="112"/>
      <c r="AN953" s="113"/>
      <c r="AO953" s="113"/>
      <c r="AP953" s="114"/>
      <c r="AQ953" s="114"/>
      <c r="AR953" s="114"/>
      <c r="AS953" s="114"/>
    </row>
    <row r="954" customFormat="false" ht="15" hidden="false" customHeight="false" outlineLevel="0" collapsed="false">
      <c r="A954" s="107"/>
      <c r="B954" s="107"/>
      <c r="C954" s="60"/>
      <c r="D954" s="110"/>
      <c r="E954" s="110"/>
      <c r="F954" s="110"/>
      <c r="G954" s="110"/>
      <c r="H954" s="115"/>
      <c r="I954" s="115"/>
      <c r="J954" s="109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  <c r="Y954" s="109"/>
      <c r="Z954" s="109"/>
      <c r="AA954" s="110"/>
      <c r="AB954" s="115"/>
      <c r="AC954" s="115"/>
      <c r="AD954" s="115"/>
      <c r="AE954" s="111"/>
      <c r="AF954" s="111"/>
      <c r="AG954" s="111"/>
      <c r="AH954" s="111"/>
      <c r="AI954" s="115"/>
      <c r="AJ954" s="115"/>
      <c r="AK954" s="115"/>
      <c r="AL954" s="115"/>
      <c r="AM954" s="112"/>
      <c r="AN954" s="116"/>
      <c r="AO954" s="116"/>
      <c r="AP954" s="114"/>
      <c r="AQ954" s="114"/>
      <c r="AR954" s="114"/>
      <c r="AS954" s="114"/>
    </row>
    <row r="955" customFormat="false" ht="15.75" hidden="false" customHeight="false" outlineLevel="0" collapsed="false">
      <c r="A955" s="107"/>
      <c r="B955" s="107"/>
      <c r="C955" s="60"/>
      <c r="D955" s="110"/>
      <c r="E955" s="110"/>
      <c r="F955" s="110"/>
      <c r="G955" s="110"/>
      <c r="H955" s="115"/>
      <c r="I955" s="115"/>
      <c r="J955" s="117"/>
      <c r="K955" s="117"/>
      <c r="L955" s="117"/>
      <c r="M955" s="117"/>
      <c r="N955" s="117"/>
      <c r="O955" s="117"/>
      <c r="P955" s="117"/>
      <c r="Q955" s="117"/>
      <c r="R955" s="117"/>
      <c r="S955" s="117"/>
      <c r="T955" s="117"/>
      <c r="U955" s="117"/>
      <c r="V955" s="117"/>
      <c r="W955" s="117"/>
      <c r="X955" s="117"/>
      <c r="Y955" s="117"/>
      <c r="Z955" s="117"/>
      <c r="AA955" s="117"/>
      <c r="AB955" s="115"/>
      <c r="AC955" s="115"/>
      <c r="AD955" s="115"/>
      <c r="AE955" s="115"/>
      <c r="AF955" s="115"/>
      <c r="AG955" s="115"/>
      <c r="AH955" s="115"/>
      <c r="AI955" s="115"/>
      <c r="AJ955" s="115"/>
      <c r="AK955" s="115"/>
      <c r="AL955" s="115"/>
      <c r="AM955" s="112"/>
      <c r="AN955" s="118"/>
      <c r="AO955" s="118"/>
      <c r="AP955" s="114"/>
      <c r="AQ955" s="114"/>
      <c r="AR955" s="114"/>
      <c r="AS955" s="114"/>
    </row>
    <row r="956" customFormat="false" ht="14.25" hidden="false" customHeight="false" outlineLevel="0" collapsed="false">
      <c r="A956" s="119"/>
      <c r="B956" s="120"/>
      <c r="C956" s="121"/>
      <c r="D956" s="122"/>
      <c r="E956" s="12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  <c r="AA956" s="123"/>
      <c r="AB956" s="123"/>
      <c r="AC956" s="124"/>
      <c r="AD956" s="124"/>
      <c r="AE956" s="124"/>
      <c r="AF956" s="124"/>
      <c r="AG956" s="124"/>
      <c r="AH956" s="124"/>
      <c r="AI956" s="124"/>
      <c r="AJ956" s="124"/>
      <c r="AK956" s="124"/>
      <c r="AL956" s="124"/>
      <c r="AM956" s="124"/>
      <c r="AN956" s="124"/>
      <c r="AO956" s="124"/>
      <c r="AP956" s="124"/>
      <c r="AQ956" s="125"/>
      <c r="AR956" s="125"/>
      <c r="AS956" s="125"/>
    </row>
    <row r="957" customFormat="false" ht="15" hidden="false" customHeight="false" outlineLevel="0" collapsed="false">
      <c r="A957" s="119"/>
      <c r="B957" s="120"/>
      <c r="C957" s="126"/>
      <c r="D957" s="127"/>
      <c r="E957" s="127"/>
      <c r="F957" s="127"/>
      <c r="G957" s="127"/>
      <c r="H957" s="159"/>
      <c r="I957" s="159"/>
      <c r="J957" s="159"/>
      <c r="K957" s="159"/>
      <c r="L957" s="159"/>
      <c r="M957" s="159"/>
      <c r="N957" s="159"/>
      <c r="O957" s="159"/>
      <c r="P957" s="159"/>
      <c r="Q957" s="159"/>
      <c r="R957" s="160"/>
      <c r="S957" s="160"/>
      <c r="T957" s="160"/>
      <c r="U957" s="160"/>
      <c r="V957" s="160"/>
      <c r="W957" s="160"/>
      <c r="X957" s="160"/>
      <c r="Y957" s="160"/>
      <c r="Z957" s="130"/>
      <c r="AA957" s="123"/>
      <c r="AB957" s="123"/>
      <c r="AC957" s="131"/>
      <c r="AD957" s="131"/>
      <c r="AE957" s="131"/>
      <c r="AF957" s="131"/>
      <c r="AG957" s="131"/>
      <c r="AH957" s="131"/>
      <c r="AI957" s="131"/>
      <c r="AJ957" s="132"/>
      <c r="AK957" s="132"/>
      <c r="AL957" s="132"/>
      <c r="AM957" s="132"/>
      <c r="AN957" s="132"/>
      <c r="AO957" s="132"/>
      <c r="AP957" s="132"/>
      <c r="AQ957" s="125"/>
      <c r="AR957" s="125"/>
      <c r="AS957" s="125"/>
    </row>
    <row r="958" customFormat="false" ht="15" hidden="false" customHeight="false" outlineLevel="0" collapsed="false">
      <c r="A958" s="119"/>
      <c r="B958" s="120"/>
      <c r="C958" s="126"/>
      <c r="D958" s="127"/>
      <c r="E958" s="127"/>
      <c r="F958" s="127"/>
      <c r="G958" s="127"/>
      <c r="H958" s="160"/>
      <c r="I958" s="159"/>
      <c r="J958" s="160"/>
      <c r="K958" s="160"/>
      <c r="L958" s="160"/>
      <c r="M958" s="160"/>
      <c r="N958" s="160"/>
      <c r="O958" s="160"/>
      <c r="P958" s="160"/>
      <c r="Q958" s="161"/>
      <c r="R958" s="159"/>
      <c r="S958" s="159"/>
      <c r="T958" s="159"/>
      <c r="U958" s="159"/>
      <c r="V958" s="159"/>
      <c r="W958" s="160"/>
      <c r="X958" s="160"/>
      <c r="Y958" s="160"/>
      <c r="Z958" s="130"/>
      <c r="AA958" s="123"/>
      <c r="AB958" s="123"/>
      <c r="AC958" s="191"/>
      <c r="AD958" s="191"/>
      <c r="AE958" s="191"/>
      <c r="AF958" s="191"/>
      <c r="AG958" s="192"/>
      <c r="AH958" s="192"/>
      <c r="AI958" s="191"/>
      <c r="AJ958" s="191"/>
      <c r="AK958" s="191"/>
      <c r="AL958" s="191"/>
      <c r="AM958" s="191"/>
      <c r="AN958" s="192"/>
      <c r="AO958" s="192"/>
      <c r="AP958" s="193"/>
      <c r="AQ958" s="125"/>
      <c r="AR958" s="125"/>
      <c r="AS958" s="125"/>
    </row>
    <row r="959" customFormat="false" ht="14.25" hidden="false" customHeight="false" outlineLevel="0" collapsed="false">
      <c r="A959" s="119"/>
      <c r="B959" s="120"/>
      <c r="C959" s="140"/>
      <c r="D959" s="127"/>
      <c r="E959" s="127"/>
      <c r="F959" s="127"/>
      <c r="G959" s="127"/>
      <c r="H959" s="162"/>
      <c r="I959" s="162"/>
      <c r="J959" s="159"/>
      <c r="K959" s="162"/>
      <c r="L959" s="162"/>
      <c r="M959" s="162"/>
      <c r="N959" s="162"/>
      <c r="O959" s="162"/>
      <c r="P959" s="162"/>
      <c r="Q959" s="162"/>
      <c r="R959" s="162"/>
      <c r="S959" s="163"/>
      <c r="T959" s="163"/>
      <c r="U959" s="163"/>
      <c r="V959" s="159"/>
      <c r="W959" s="159"/>
      <c r="X959" s="159"/>
      <c r="Y959" s="159"/>
      <c r="Z959" s="143"/>
      <c r="AA959" s="123"/>
      <c r="AB959" s="123"/>
      <c r="AC959" s="191"/>
      <c r="AD959" s="191"/>
      <c r="AE959" s="191"/>
      <c r="AF959" s="191"/>
      <c r="AG959" s="194"/>
      <c r="AH959" s="194"/>
      <c r="AI959" s="191"/>
      <c r="AJ959" s="191"/>
      <c r="AK959" s="191"/>
      <c r="AL959" s="191"/>
      <c r="AM959" s="191"/>
      <c r="AN959" s="194"/>
      <c r="AO959" s="194"/>
      <c r="AP959" s="193"/>
      <c r="AQ959" s="125"/>
      <c r="AR959" s="125"/>
      <c r="AS959" s="125"/>
    </row>
    <row r="960" customFormat="false" ht="14.25" hidden="false" customHeight="false" outlineLevel="0" collapsed="false">
      <c r="A960" s="29"/>
      <c r="B960" s="147"/>
      <c r="C960" s="148"/>
      <c r="D960" s="149"/>
      <c r="E960" s="149"/>
      <c r="F960" s="149"/>
      <c r="G960" s="149"/>
      <c r="H960" s="141"/>
      <c r="I960" s="143"/>
      <c r="J960" s="143"/>
      <c r="K960" s="143"/>
      <c r="L960" s="143"/>
      <c r="M960" s="143"/>
      <c r="N960" s="143"/>
      <c r="O960" s="143"/>
      <c r="P960" s="143"/>
      <c r="Q960" s="143"/>
      <c r="R960" s="143"/>
      <c r="S960" s="143"/>
      <c r="T960" s="143"/>
      <c r="U960" s="143"/>
      <c r="V960" s="143"/>
      <c r="W960" s="143"/>
      <c r="X960" s="143"/>
      <c r="Y960" s="143"/>
      <c r="Z960" s="152"/>
      <c r="AA960" s="143"/>
      <c r="AB960" s="153"/>
      <c r="AC960" s="154"/>
      <c r="AD960" s="154"/>
      <c r="AE960" s="154"/>
      <c r="AF960" s="154"/>
      <c r="AG960" s="154"/>
      <c r="AH960" s="154"/>
      <c r="AI960" s="154"/>
      <c r="AJ960" s="154"/>
      <c r="AK960" s="154"/>
      <c r="AL960" s="154"/>
      <c r="AM960" s="154"/>
      <c r="AN960" s="154"/>
      <c r="AO960" s="154"/>
      <c r="AP960" s="152"/>
      <c r="AQ960" s="154"/>
      <c r="AR960" s="154"/>
      <c r="AS960" s="154"/>
    </row>
    <row r="961" customFormat="false" ht="14.25" hidden="false" customHeight="false" outlineLevel="0" collapsed="false">
      <c r="A961" s="29"/>
      <c r="B961" s="147"/>
      <c r="C961" s="155"/>
      <c r="D961" s="149"/>
      <c r="E961" s="149"/>
      <c r="F961" s="149"/>
      <c r="G961" s="149"/>
      <c r="H961" s="141"/>
      <c r="I961" s="143"/>
      <c r="J961" s="143"/>
      <c r="K961" s="143"/>
      <c r="L961" s="143"/>
      <c r="M961" s="143"/>
      <c r="N961" s="143"/>
      <c r="O961" s="143"/>
      <c r="P961" s="143"/>
      <c r="Q961" s="143"/>
      <c r="R961" s="143"/>
      <c r="S961" s="143"/>
      <c r="T961" s="143"/>
      <c r="U961" s="143"/>
      <c r="V961" s="143"/>
      <c r="W961" s="143"/>
      <c r="X961" s="143"/>
      <c r="Y961" s="143"/>
      <c r="Z961" s="152"/>
      <c r="AA961" s="143"/>
      <c r="AB961" s="153"/>
      <c r="AC961" s="154"/>
      <c r="AD961" s="154"/>
      <c r="AE961" s="154"/>
      <c r="AF961" s="154"/>
      <c r="AG961" s="154"/>
      <c r="AH961" s="154"/>
      <c r="AI961" s="154"/>
      <c r="AJ961" s="154"/>
      <c r="AK961" s="154"/>
      <c r="AL961" s="154"/>
      <c r="AM961" s="154"/>
      <c r="AN961" s="154"/>
      <c r="AO961" s="154"/>
      <c r="AP961" s="152"/>
      <c r="AQ961" s="154"/>
      <c r="AR961" s="154"/>
      <c r="AS961" s="154"/>
    </row>
    <row r="962" customFormat="false" ht="14.25" hidden="false" customHeight="false" outlineLevel="0" collapsed="false">
      <c r="A962" s="29"/>
      <c r="B962" s="147"/>
      <c r="C962" s="156"/>
      <c r="D962" s="149"/>
      <c r="E962" s="149"/>
      <c r="F962" s="149"/>
      <c r="G962" s="149"/>
      <c r="H962" s="141"/>
      <c r="I962" s="143"/>
      <c r="J962" s="143"/>
      <c r="K962" s="143"/>
      <c r="L962" s="143"/>
      <c r="M962" s="143"/>
      <c r="N962" s="143"/>
      <c r="O962" s="143"/>
      <c r="P962" s="143"/>
      <c r="Q962" s="143"/>
      <c r="R962" s="143"/>
      <c r="S962" s="143"/>
      <c r="T962" s="143"/>
      <c r="U962" s="143"/>
      <c r="V962" s="143"/>
      <c r="W962" s="143"/>
      <c r="X962" s="143"/>
      <c r="Y962" s="143"/>
      <c r="Z962" s="152"/>
      <c r="AA962" s="143"/>
      <c r="AB962" s="153"/>
      <c r="AC962" s="154"/>
      <c r="AD962" s="154"/>
      <c r="AE962" s="154"/>
      <c r="AF962" s="154"/>
      <c r="AG962" s="154"/>
      <c r="AH962" s="154"/>
      <c r="AI962" s="154"/>
      <c r="AJ962" s="154"/>
      <c r="AK962" s="154"/>
      <c r="AL962" s="154"/>
      <c r="AM962" s="154"/>
      <c r="AN962" s="154"/>
      <c r="AO962" s="154"/>
      <c r="AP962" s="152"/>
      <c r="AQ962" s="154"/>
      <c r="AR962" s="154"/>
      <c r="AS962" s="154"/>
    </row>
    <row r="963" customFormat="false" ht="14.25" hidden="false" customHeight="false" outlineLevel="0" collapsed="false">
      <c r="A963" s="29"/>
      <c r="B963" s="147"/>
      <c r="C963" s="148"/>
      <c r="D963" s="149"/>
      <c r="E963" s="149"/>
      <c r="F963" s="149"/>
      <c r="G963" s="149"/>
      <c r="H963" s="141"/>
      <c r="I963" s="143"/>
      <c r="J963" s="143"/>
      <c r="K963" s="143"/>
      <c r="L963" s="143"/>
      <c r="M963" s="143"/>
      <c r="N963" s="143"/>
      <c r="O963" s="143"/>
      <c r="P963" s="143"/>
      <c r="Q963" s="143"/>
      <c r="R963" s="143"/>
      <c r="S963" s="143"/>
      <c r="T963" s="143"/>
      <c r="U963" s="143"/>
      <c r="V963" s="143"/>
      <c r="W963" s="143"/>
      <c r="X963" s="143"/>
      <c r="Y963" s="143"/>
      <c r="Z963" s="152"/>
      <c r="AA963" s="143"/>
      <c r="AB963" s="153"/>
      <c r="AC963" s="154"/>
      <c r="AD963" s="154"/>
      <c r="AE963" s="154"/>
      <c r="AF963" s="154"/>
      <c r="AG963" s="154"/>
      <c r="AH963" s="154"/>
      <c r="AI963" s="154"/>
      <c r="AJ963" s="154"/>
      <c r="AK963" s="154"/>
      <c r="AL963" s="154"/>
      <c r="AM963" s="154"/>
      <c r="AN963" s="154"/>
      <c r="AO963" s="154"/>
      <c r="AP963" s="152"/>
      <c r="AQ963" s="154"/>
      <c r="AR963" s="154"/>
      <c r="AS963" s="154"/>
    </row>
    <row r="964" customFormat="false" ht="14.25" hidden="false" customHeight="false" outlineLevel="0" collapsed="false">
      <c r="A964" s="29"/>
      <c r="B964" s="147"/>
      <c r="C964" s="155"/>
      <c r="D964" s="149"/>
      <c r="E964" s="149"/>
      <c r="F964" s="149"/>
      <c r="G964" s="149"/>
      <c r="H964" s="141"/>
      <c r="I964" s="143"/>
      <c r="J964" s="143"/>
      <c r="K964" s="143"/>
      <c r="L964" s="143"/>
      <c r="M964" s="143"/>
      <c r="N964" s="143"/>
      <c r="O964" s="143"/>
      <c r="P964" s="143"/>
      <c r="Q964" s="143"/>
      <c r="R964" s="143"/>
      <c r="S964" s="143"/>
      <c r="T964" s="143"/>
      <c r="U964" s="143"/>
      <c r="V964" s="143"/>
      <c r="W964" s="143"/>
      <c r="X964" s="143"/>
      <c r="Y964" s="143"/>
      <c r="Z964" s="152"/>
      <c r="AA964" s="143"/>
      <c r="AB964" s="153"/>
      <c r="AC964" s="154"/>
      <c r="AD964" s="154"/>
      <c r="AE964" s="154"/>
      <c r="AF964" s="154"/>
      <c r="AG964" s="154"/>
      <c r="AH964" s="154"/>
      <c r="AI964" s="154"/>
      <c r="AJ964" s="154"/>
      <c r="AK964" s="154"/>
      <c r="AL964" s="154"/>
      <c r="AM964" s="154"/>
      <c r="AN964" s="154"/>
      <c r="AO964" s="154"/>
      <c r="AP964" s="152"/>
      <c r="AQ964" s="154"/>
      <c r="AR964" s="154"/>
      <c r="AS964" s="154"/>
    </row>
    <row r="965" customFormat="false" ht="14.25" hidden="false" customHeight="false" outlineLevel="0" collapsed="false">
      <c r="A965" s="29"/>
      <c r="B965" s="147"/>
      <c r="C965" s="156"/>
      <c r="D965" s="149"/>
      <c r="E965" s="149"/>
      <c r="F965" s="149"/>
      <c r="G965" s="149"/>
      <c r="H965" s="141"/>
      <c r="I965" s="143"/>
      <c r="J965" s="143"/>
      <c r="K965" s="143"/>
      <c r="L965" s="143"/>
      <c r="M965" s="143"/>
      <c r="N965" s="143"/>
      <c r="O965" s="143"/>
      <c r="P965" s="143"/>
      <c r="Q965" s="143"/>
      <c r="R965" s="143"/>
      <c r="S965" s="143"/>
      <c r="T965" s="143"/>
      <c r="U965" s="143"/>
      <c r="V965" s="143"/>
      <c r="W965" s="143"/>
      <c r="X965" s="143"/>
      <c r="Y965" s="143"/>
      <c r="Z965" s="152"/>
      <c r="AA965" s="143"/>
      <c r="AB965" s="153"/>
      <c r="AC965" s="154"/>
      <c r="AD965" s="154"/>
      <c r="AE965" s="154"/>
      <c r="AF965" s="154"/>
      <c r="AG965" s="154"/>
      <c r="AH965" s="154"/>
      <c r="AI965" s="154"/>
      <c r="AJ965" s="154"/>
      <c r="AK965" s="154"/>
      <c r="AL965" s="154"/>
      <c r="AM965" s="154"/>
      <c r="AN965" s="154"/>
      <c r="AO965" s="154"/>
      <c r="AP965" s="152"/>
      <c r="AQ965" s="154"/>
      <c r="AR965" s="154"/>
      <c r="AS965" s="154"/>
    </row>
    <row r="966" customFormat="false" ht="14.25" hidden="false" customHeight="false" outlineLevel="0" collapsed="false">
      <c r="A966" s="29"/>
      <c r="B966" s="147"/>
      <c r="C966" s="148"/>
      <c r="D966" s="149"/>
      <c r="E966" s="149"/>
      <c r="F966" s="149"/>
      <c r="G966" s="149"/>
      <c r="H966" s="141"/>
      <c r="I966" s="143"/>
      <c r="J966" s="143"/>
      <c r="K966" s="143"/>
      <c r="L966" s="143"/>
      <c r="M966" s="143"/>
      <c r="N966" s="143"/>
      <c r="O966" s="143"/>
      <c r="P966" s="143"/>
      <c r="Q966" s="143"/>
      <c r="R966" s="143"/>
      <c r="S966" s="143"/>
      <c r="T966" s="143"/>
      <c r="U966" s="143"/>
      <c r="V966" s="143"/>
      <c r="W966" s="143"/>
      <c r="X966" s="143"/>
      <c r="Y966" s="143"/>
      <c r="Z966" s="152"/>
      <c r="AA966" s="143"/>
      <c r="AB966" s="154"/>
      <c r="AC966" s="154"/>
      <c r="AD966" s="154"/>
      <c r="AE966" s="154"/>
      <c r="AF966" s="154"/>
      <c r="AG966" s="154"/>
      <c r="AH966" s="154"/>
      <c r="AI966" s="154"/>
      <c r="AJ966" s="154"/>
      <c r="AK966" s="154"/>
      <c r="AL966" s="154"/>
      <c r="AM966" s="154"/>
      <c r="AN966" s="154"/>
      <c r="AO966" s="154"/>
      <c r="AP966" s="152"/>
      <c r="AQ966" s="154"/>
      <c r="AR966" s="154"/>
      <c r="AS966" s="154"/>
    </row>
    <row r="967" customFormat="false" ht="14.25" hidden="false" customHeight="false" outlineLevel="0" collapsed="false">
      <c r="A967" s="29"/>
      <c r="B967" s="147"/>
      <c r="C967" s="155"/>
      <c r="D967" s="149"/>
      <c r="E967" s="149"/>
      <c r="F967" s="149"/>
      <c r="G967" s="149"/>
      <c r="H967" s="141"/>
      <c r="I967" s="143"/>
      <c r="J967" s="143"/>
      <c r="K967" s="143"/>
      <c r="L967" s="143"/>
      <c r="M967" s="143"/>
      <c r="N967" s="143"/>
      <c r="O967" s="143"/>
      <c r="P967" s="143"/>
      <c r="Q967" s="143"/>
      <c r="R967" s="143"/>
      <c r="S967" s="143"/>
      <c r="T967" s="143"/>
      <c r="U967" s="143"/>
      <c r="V967" s="143"/>
      <c r="W967" s="143"/>
      <c r="X967" s="143"/>
      <c r="Y967" s="143"/>
      <c r="Z967" s="152"/>
      <c r="AA967" s="143"/>
      <c r="AB967" s="154"/>
      <c r="AC967" s="154"/>
      <c r="AD967" s="154"/>
      <c r="AE967" s="154"/>
      <c r="AF967" s="154"/>
      <c r="AG967" s="154"/>
      <c r="AH967" s="154"/>
      <c r="AI967" s="154"/>
      <c r="AJ967" s="154"/>
      <c r="AK967" s="154"/>
      <c r="AL967" s="154"/>
      <c r="AM967" s="154"/>
      <c r="AN967" s="154"/>
      <c r="AO967" s="154"/>
      <c r="AP967" s="152"/>
      <c r="AQ967" s="154"/>
      <c r="AR967" s="154"/>
      <c r="AS967" s="154"/>
    </row>
    <row r="968" customFormat="false" ht="14.25" hidden="false" customHeight="false" outlineLevel="0" collapsed="false">
      <c r="A968" s="29"/>
      <c r="B968" s="147"/>
      <c r="C968" s="156"/>
      <c r="D968" s="149"/>
      <c r="E968" s="149"/>
      <c r="F968" s="149"/>
      <c r="G968" s="149"/>
      <c r="H968" s="141"/>
      <c r="I968" s="143"/>
      <c r="J968" s="143"/>
      <c r="K968" s="143"/>
      <c r="L968" s="143"/>
      <c r="M968" s="143"/>
      <c r="N968" s="143"/>
      <c r="O968" s="143"/>
      <c r="P968" s="143"/>
      <c r="Q968" s="143"/>
      <c r="R968" s="143"/>
      <c r="S968" s="143"/>
      <c r="T968" s="143"/>
      <c r="U968" s="143"/>
      <c r="V968" s="143"/>
      <c r="W968" s="143"/>
      <c r="X968" s="143"/>
      <c r="Y968" s="143"/>
      <c r="Z968" s="152"/>
      <c r="AA968" s="143"/>
      <c r="AB968" s="154"/>
      <c r="AC968" s="154"/>
      <c r="AD968" s="154"/>
      <c r="AE968" s="154"/>
      <c r="AF968" s="154"/>
      <c r="AG968" s="154"/>
      <c r="AH968" s="154"/>
      <c r="AI968" s="154"/>
      <c r="AJ968" s="154"/>
      <c r="AK968" s="154"/>
      <c r="AL968" s="154"/>
      <c r="AM968" s="154"/>
      <c r="AN968" s="154"/>
      <c r="AO968" s="154"/>
      <c r="AP968" s="152"/>
      <c r="AQ968" s="154"/>
      <c r="AR968" s="154"/>
      <c r="AS968" s="154"/>
    </row>
    <row r="969" customFormat="false" ht="14.25" hidden="false" customHeight="false" outlineLevel="0" collapsed="false">
      <c r="A969" s="29"/>
      <c r="B969" s="147"/>
      <c r="C969" s="148"/>
      <c r="D969" s="149"/>
      <c r="E969" s="149"/>
      <c r="F969" s="149"/>
      <c r="G969" s="149"/>
      <c r="H969" s="141"/>
      <c r="I969" s="143"/>
      <c r="J969" s="143"/>
      <c r="K969" s="143"/>
      <c r="L969" s="143"/>
      <c r="M969" s="143"/>
      <c r="N969" s="143"/>
      <c r="O969" s="143"/>
      <c r="P969" s="143"/>
      <c r="Q969" s="164"/>
      <c r="R969" s="143"/>
      <c r="S969" s="143"/>
      <c r="T969" s="143"/>
      <c r="U969" s="143"/>
      <c r="V969" s="143"/>
      <c r="W969" s="143"/>
      <c r="X969" s="143"/>
      <c r="Y969" s="143"/>
      <c r="Z969" s="152"/>
      <c r="AA969" s="143"/>
      <c r="AB969" s="153"/>
      <c r="AC969" s="154"/>
      <c r="AD969" s="154"/>
      <c r="AE969" s="154"/>
      <c r="AF969" s="154"/>
      <c r="AG969" s="154"/>
      <c r="AH969" s="154"/>
      <c r="AI969" s="154"/>
      <c r="AJ969" s="154"/>
      <c r="AK969" s="154"/>
      <c r="AL969" s="154"/>
      <c r="AM969" s="154"/>
      <c r="AN969" s="154"/>
      <c r="AO969" s="154"/>
      <c r="AP969" s="152"/>
      <c r="AQ969" s="154"/>
      <c r="AR969" s="154"/>
      <c r="AS969" s="154"/>
    </row>
    <row r="970" customFormat="false" ht="14.25" hidden="false" customHeight="false" outlineLevel="0" collapsed="false">
      <c r="A970" s="29"/>
      <c r="B970" s="147"/>
      <c r="C970" s="155"/>
      <c r="D970" s="149"/>
      <c r="E970" s="149"/>
      <c r="F970" s="149"/>
      <c r="G970" s="149"/>
      <c r="H970" s="141"/>
      <c r="I970" s="143"/>
      <c r="J970" s="143"/>
      <c r="K970" s="143"/>
      <c r="L970" s="143"/>
      <c r="M970" s="143"/>
      <c r="N970" s="143"/>
      <c r="O970" s="143"/>
      <c r="P970" s="143"/>
      <c r="Q970" s="143"/>
      <c r="R970" s="143"/>
      <c r="S970" s="143"/>
      <c r="T970" s="143"/>
      <c r="U970" s="143"/>
      <c r="V970" s="143"/>
      <c r="W970" s="143"/>
      <c r="X970" s="143"/>
      <c r="Y970" s="143"/>
      <c r="Z970" s="152"/>
      <c r="AA970" s="143"/>
      <c r="AB970" s="153"/>
      <c r="AC970" s="154"/>
      <c r="AD970" s="154"/>
      <c r="AE970" s="154"/>
      <c r="AF970" s="154"/>
      <c r="AG970" s="154"/>
      <c r="AH970" s="154"/>
      <c r="AI970" s="154"/>
      <c r="AJ970" s="154"/>
      <c r="AK970" s="154"/>
      <c r="AL970" s="154"/>
      <c r="AM970" s="154"/>
      <c r="AN970" s="154"/>
      <c r="AO970" s="154"/>
      <c r="AP970" s="152"/>
      <c r="AQ970" s="154"/>
      <c r="AR970" s="154"/>
      <c r="AS970" s="154"/>
    </row>
    <row r="971" customFormat="false" ht="14.25" hidden="false" customHeight="false" outlineLevel="0" collapsed="false">
      <c r="A971" s="29"/>
      <c r="B971" s="147"/>
      <c r="C971" s="156"/>
      <c r="D971" s="149"/>
      <c r="E971" s="149"/>
      <c r="F971" s="149"/>
      <c r="G971" s="149"/>
      <c r="H971" s="141"/>
      <c r="I971" s="143"/>
      <c r="J971" s="143"/>
      <c r="K971" s="143"/>
      <c r="L971" s="143"/>
      <c r="M971" s="143"/>
      <c r="N971" s="143"/>
      <c r="O971" s="143"/>
      <c r="P971" s="143"/>
      <c r="Q971" s="143"/>
      <c r="R971" s="143"/>
      <c r="S971" s="143"/>
      <c r="T971" s="143"/>
      <c r="U971" s="143"/>
      <c r="V971" s="143"/>
      <c r="W971" s="143"/>
      <c r="X971" s="143"/>
      <c r="Y971" s="143"/>
      <c r="Z971" s="152"/>
      <c r="AA971" s="143"/>
      <c r="AB971" s="153"/>
      <c r="AC971" s="154"/>
      <c r="AD971" s="154"/>
      <c r="AE971" s="154"/>
      <c r="AF971" s="154"/>
      <c r="AG971" s="154"/>
      <c r="AH971" s="154"/>
      <c r="AI971" s="154"/>
      <c r="AJ971" s="154"/>
      <c r="AK971" s="154"/>
      <c r="AL971" s="154"/>
      <c r="AM971" s="154"/>
      <c r="AN971" s="154"/>
      <c r="AO971" s="154"/>
      <c r="AP971" s="152"/>
      <c r="AQ971" s="154"/>
      <c r="AR971" s="154"/>
      <c r="AS971" s="154"/>
    </row>
    <row r="972" customFormat="false" ht="14.25" hidden="false" customHeight="false" outlineLevel="0" collapsed="false">
      <c r="A972" s="29"/>
      <c r="B972" s="147"/>
      <c r="C972" s="148"/>
      <c r="D972" s="149"/>
      <c r="E972" s="149"/>
      <c r="F972" s="149"/>
      <c r="G972" s="149"/>
      <c r="H972" s="141"/>
      <c r="I972" s="143"/>
      <c r="J972" s="143"/>
      <c r="K972" s="143"/>
      <c r="L972" s="143"/>
      <c r="M972" s="143"/>
      <c r="N972" s="143"/>
      <c r="O972" s="143"/>
      <c r="P972" s="143"/>
      <c r="Q972" s="143"/>
      <c r="R972" s="143"/>
      <c r="S972" s="143"/>
      <c r="T972" s="143"/>
      <c r="U972" s="143"/>
      <c r="V972" s="143"/>
      <c r="W972" s="143"/>
      <c r="X972" s="143"/>
      <c r="Y972" s="143"/>
      <c r="Z972" s="152"/>
      <c r="AA972" s="143"/>
      <c r="AB972" s="153"/>
      <c r="AC972" s="154"/>
      <c r="AD972" s="154"/>
      <c r="AE972" s="154"/>
      <c r="AF972" s="154"/>
      <c r="AG972" s="154"/>
      <c r="AH972" s="154"/>
      <c r="AI972" s="154"/>
      <c r="AJ972" s="154"/>
      <c r="AK972" s="154"/>
      <c r="AL972" s="154"/>
      <c r="AM972" s="154"/>
      <c r="AN972" s="154"/>
      <c r="AO972" s="154"/>
      <c r="AP972" s="152"/>
      <c r="AQ972" s="154"/>
      <c r="AR972" s="154"/>
      <c r="AS972" s="154"/>
    </row>
    <row r="973" customFormat="false" ht="14.25" hidden="false" customHeight="false" outlineLevel="0" collapsed="false">
      <c r="A973" s="29"/>
      <c r="B973" s="147"/>
      <c r="C973" s="155"/>
      <c r="D973" s="149"/>
      <c r="E973" s="149"/>
      <c r="F973" s="149"/>
      <c r="G973" s="149"/>
      <c r="H973" s="141"/>
      <c r="I973" s="143"/>
      <c r="J973" s="143"/>
      <c r="K973" s="143"/>
      <c r="L973" s="143"/>
      <c r="M973" s="143"/>
      <c r="N973" s="143"/>
      <c r="O973" s="143"/>
      <c r="P973" s="143"/>
      <c r="Q973" s="143"/>
      <c r="R973" s="143"/>
      <c r="S973" s="143"/>
      <c r="T973" s="143"/>
      <c r="U973" s="143"/>
      <c r="V973" s="143"/>
      <c r="W973" s="143"/>
      <c r="X973" s="143"/>
      <c r="Y973" s="143"/>
      <c r="Z973" s="152"/>
      <c r="AA973" s="143"/>
      <c r="AB973" s="153"/>
      <c r="AC973" s="154"/>
      <c r="AD973" s="154"/>
      <c r="AE973" s="154"/>
      <c r="AF973" s="154"/>
      <c r="AG973" s="154"/>
      <c r="AH973" s="154"/>
      <c r="AI973" s="154"/>
      <c r="AJ973" s="154"/>
      <c r="AK973" s="154"/>
      <c r="AL973" s="154"/>
      <c r="AM973" s="154"/>
      <c r="AN973" s="154"/>
      <c r="AO973" s="154"/>
      <c r="AP973" s="152"/>
      <c r="AQ973" s="154"/>
      <c r="AR973" s="154"/>
      <c r="AS973" s="154"/>
    </row>
    <row r="974" customFormat="false" ht="14.25" hidden="false" customHeight="false" outlineLevel="0" collapsed="false">
      <c r="A974" s="29"/>
      <c r="B974" s="147"/>
      <c r="C974" s="156"/>
      <c r="D974" s="149"/>
      <c r="E974" s="149"/>
      <c r="F974" s="149"/>
      <c r="G974" s="149"/>
      <c r="H974" s="141"/>
      <c r="I974" s="143"/>
      <c r="J974" s="143"/>
      <c r="K974" s="143"/>
      <c r="L974" s="143"/>
      <c r="M974" s="143"/>
      <c r="N974" s="143"/>
      <c r="O974" s="143"/>
      <c r="P974" s="143"/>
      <c r="Q974" s="143"/>
      <c r="R974" s="143"/>
      <c r="S974" s="143"/>
      <c r="T974" s="143"/>
      <c r="U974" s="143"/>
      <c r="V974" s="143"/>
      <c r="W974" s="143"/>
      <c r="X974" s="143"/>
      <c r="Y974" s="143"/>
      <c r="Z974" s="152"/>
      <c r="AA974" s="143"/>
      <c r="AB974" s="153"/>
      <c r="AC974" s="154"/>
      <c r="AD974" s="154"/>
      <c r="AE974" s="154"/>
      <c r="AF974" s="154"/>
      <c r="AG974" s="154"/>
      <c r="AH974" s="154"/>
      <c r="AI974" s="154"/>
      <c r="AJ974" s="154"/>
      <c r="AK974" s="154"/>
      <c r="AL974" s="154"/>
      <c r="AM974" s="154"/>
      <c r="AN974" s="154"/>
      <c r="AO974" s="154"/>
      <c r="AP974" s="152"/>
      <c r="AQ974" s="154"/>
      <c r="AR974" s="154"/>
      <c r="AS974" s="154"/>
    </row>
    <row r="975" customFormat="false" ht="14.25" hidden="false" customHeight="false" outlineLevel="0" collapsed="false">
      <c r="A975" s="29"/>
      <c r="B975" s="147"/>
      <c r="C975" s="148"/>
      <c r="D975" s="149"/>
      <c r="E975" s="149"/>
      <c r="F975" s="149"/>
      <c r="G975" s="149"/>
      <c r="H975" s="141"/>
      <c r="I975" s="143"/>
      <c r="J975" s="143"/>
      <c r="K975" s="143"/>
      <c r="L975" s="143"/>
      <c r="M975" s="143"/>
      <c r="N975" s="143"/>
      <c r="O975" s="143"/>
      <c r="P975" s="143"/>
      <c r="Q975" s="143"/>
      <c r="R975" s="143"/>
      <c r="S975" s="143"/>
      <c r="T975" s="143"/>
      <c r="U975" s="143"/>
      <c r="V975" s="143"/>
      <c r="W975" s="143"/>
      <c r="X975" s="143"/>
      <c r="Y975" s="143"/>
      <c r="Z975" s="152"/>
      <c r="AA975" s="143"/>
      <c r="AB975" s="153"/>
      <c r="AC975" s="154"/>
      <c r="AD975" s="154"/>
      <c r="AE975" s="154"/>
      <c r="AF975" s="154"/>
      <c r="AG975" s="154"/>
      <c r="AH975" s="154"/>
      <c r="AI975" s="154"/>
      <c r="AJ975" s="165"/>
      <c r="AK975" s="165"/>
      <c r="AL975" s="154"/>
      <c r="AM975" s="154"/>
      <c r="AN975" s="154"/>
      <c r="AO975" s="154"/>
      <c r="AP975" s="152"/>
      <c r="AQ975" s="154"/>
      <c r="AR975" s="154"/>
      <c r="AS975" s="154"/>
    </row>
    <row r="976" customFormat="false" ht="14.25" hidden="false" customHeight="false" outlineLevel="0" collapsed="false">
      <c r="A976" s="29"/>
      <c r="B976" s="147"/>
      <c r="C976" s="155"/>
      <c r="D976" s="149"/>
      <c r="E976" s="149"/>
      <c r="F976" s="149"/>
      <c r="G976" s="149"/>
      <c r="H976" s="141"/>
      <c r="I976" s="143"/>
      <c r="J976" s="143"/>
      <c r="K976" s="143"/>
      <c r="L976" s="143"/>
      <c r="M976" s="143"/>
      <c r="N976" s="143"/>
      <c r="O976" s="143"/>
      <c r="P976" s="143"/>
      <c r="Q976" s="143"/>
      <c r="R976" s="143"/>
      <c r="S976" s="143"/>
      <c r="T976" s="143"/>
      <c r="U976" s="143"/>
      <c r="V976" s="143"/>
      <c r="W976" s="143"/>
      <c r="X976" s="143"/>
      <c r="Y976" s="143"/>
      <c r="Z976" s="152"/>
      <c r="AA976" s="143"/>
      <c r="AB976" s="153"/>
      <c r="AC976" s="154"/>
      <c r="AD976" s="154"/>
      <c r="AE976" s="154"/>
      <c r="AF976" s="154"/>
      <c r="AG976" s="154"/>
      <c r="AH976" s="154"/>
      <c r="AI976" s="154"/>
      <c r="AJ976" s="154"/>
      <c r="AK976" s="154"/>
      <c r="AL976" s="154"/>
      <c r="AM976" s="154"/>
      <c r="AN976" s="154"/>
      <c r="AO976" s="154"/>
      <c r="AP976" s="152"/>
      <c r="AQ976" s="154"/>
      <c r="AR976" s="154"/>
      <c r="AS976" s="154"/>
    </row>
    <row r="977" customFormat="false" ht="14.25" hidden="false" customHeight="false" outlineLevel="0" collapsed="false">
      <c r="A977" s="29"/>
      <c r="B977" s="147"/>
      <c r="C977" s="156"/>
      <c r="D977" s="149"/>
      <c r="E977" s="149"/>
      <c r="F977" s="149"/>
      <c r="G977" s="149"/>
      <c r="H977" s="141"/>
      <c r="I977" s="143"/>
      <c r="J977" s="143"/>
      <c r="K977" s="143"/>
      <c r="L977" s="143"/>
      <c r="M977" s="143"/>
      <c r="N977" s="143"/>
      <c r="O977" s="143"/>
      <c r="P977" s="143"/>
      <c r="Q977" s="143"/>
      <c r="R977" s="143"/>
      <c r="S977" s="143"/>
      <c r="T977" s="143"/>
      <c r="U977" s="143"/>
      <c r="V977" s="143"/>
      <c r="W977" s="143"/>
      <c r="X977" s="143"/>
      <c r="Y977" s="143"/>
      <c r="Z977" s="152"/>
      <c r="AA977" s="143"/>
      <c r="AB977" s="153"/>
      <c r="AC977" s="154"/>
      <c r="AD977" s="154"/>
      <c r="AE977" s="154"/>
      <c r="AF977" s="154"/>
      <c r="AG977" s="154"/>
      <c r="AH977" s="154"/>
      <c r="AI977" s="154"/>
      <c r="AJ977" s="154"/>
      <c r="AK977" s="154"/>
      <c r="AL977" s="154"/>
      <c r="AM977" s="154"/>
      <c r="AN977" s="154"/>
      <c r="AO977" s="154"/>
      <c r="AP977" s="152"/>
      <c r="AQ977" s="154"/>
      <c r="AR977" s="154"/>
      <c r="AS977" s="154"/>
    </row>
    <row r="978" customFormat="false" ht="15" hidden="false" customHeight="false" outlineLevel="0" collapsed="false">
      <c r="A978" s="29"/>
      <c r="B978" s="180"/>
      <c r="C978" s="181"/>
      <c r="D978" s="149"/>
      <c r="E978" s="149"/>
      <c r="F978" s="149"/>
      <c r="G978" s="149"/>
      <c r="H978" s="141"/>
      <c r="I978" s="143"/>
      <c r="J978" s="143"/>
      <c r="K978" s="143"/>
      <c r="L978" s="143"/>
      <c r="M978" s="143"/>
      <c r="N978" s="143"/>
      <c r="O978" s="143"/>
      <c r="P978" s="143"/>
      <c r="Q978" s="143"/>
      <c r="R978" s="143"/>
      <c r="S978" s="143"/>
      <c r="T978" s="143"/>
      <c r="U978" s="143"/>
      <c r="V978" s="143"/>
      <c r="W978" s="143"/>
      <c r="X978" s="143"/>
      <c r="Y978" s="143"/>
      <c r="Z978" s="152"/>
      <c r="AA978" s="143"/>
      <c r="AB978" s="153"/>
      <c r="AC978" s="154"/>
      <c r="AD978" s="154"/>
      <c r="AE978" s="154"/>
      <c r="AF978" s="154"/>
      <c r="AG978" s="154"/>
      <c r="AH978" s="154"/>
      <c r="AI978" s="154"/>
      <c r="AJ978" s="165"/>
      <c r="AK978" s="165"/>
      <c r="AL978" s="154"/>
      <c r="AM978" s="154"/>
      <c r="AN978" s="154"/>
      <c r="AO978" s="154"/>
      <c r="AP978" s="152"/>
      <c r="AQ978" s="154"/>
      <c r="AR978" s="154"/>
      <c r="AS978" s="154"/>
    </row>
    <row r="979" customFormat="false" ht="15" hidden="false" customHeight="false" outlineLevel="0" collapsed="false">
      <c r="A979" s="29"/>
      <c r="B979" s="180"/>
      <c r="C979" s="184"/>
      <c r="D979" s="149"/>
      <c r="E979" s="149"/>
      <c r="F979" s="149"/>
      <c r="G979" s="149"/>
      <c r="H979" s="141"/>
      <c r="I979" s="143"/>
      <c r="J979" s="143"/>
      <c r="K979" s="143"/>
      <c r="L979" s="143"/>
      <c r="M979" s="143"/>
      <c r="N979" s="143"/>
      <c r="O979" s="143"/>
      <c r="P979" s="143"/>
      <c r="Q979" s="143"/>
      <c r="R979" s="143"/>
      <c r="S979" s="143"/>
      <c r="T979" s="143"/>
      <c r="U979" s="143"/>
      <c r="V979" s="143"/>
      <c r="W979" s="143"/>
      <c r="X979" s="143"/>
      <c r="Y979" s="143"/>
      <c r="Z979" s="152"/>
      <c r="AA979" s="143"/>
      <c r="AB979" s="153"/>
      <c r="AC979" s="154"/>
      <c r="AD979" s="154"/>
      <c r="AE979" s="154"/>
      <c r="AF979" s="154"/>
      <c r="AG979" s="154"/>
      <c r="AH979" s="154"/>
      <c r="AI979" s="154"/>
      <c r="AJ979" s="154"/>
      <c r="AK979" s="154"/>
      <c r="AL979" s="154"/>
      <c r="AM979" s="154"/>
      <c r="AN979" s="154"/>
      <c r="AO979" s="154"/>
      <c r="AP979" s="152"/>
      <c r="AQ979" s="154"/>
      <c r="AR979" s="154"/>
      <c r="AS979" s="154"/>
    </row>
    <row r="980" customFormat="false" ht="15" hidden="false" customHeight="false" outlineLevel="0" collapsed="false">
      <c r="A980" s="29"/>
      <c r="B980" s="180"/>
      <c r="C980" s="185"/>
      <c r="D980" s="149"/>
      <c r="E980" s="149"/>
      <c r="F980" s="149"/>
      <c r="G980" s="149"/>
      <c r="H980" s="141"/>
      <c r="I980" s="143"/>
      <c r="J980" s="143"/>
      <c r="K980" s="143"/>
      <c r="L980" s="143"/>
      <c r="M980" s="143"/>
      <c r="N980" s="143"/>
      <c r="O980" s="143"/>
      <c r="P980" s="143"/>
      <c r="Q980" s="143"/>
      <c r="R980" s="143"/>
      <c r="S980" s="143"/>
      <c r="T980" s="143"/>
      <c r="U980" s="143"/>
      <c r="V980" s="143"/>
      <c r="W980" s="143"/>
      <c r="X980" s="143"/>
      <c r="Y980" s="143"/>
      <c r="Z980" s="152"/>
      <c r="AA980" s="143"/>
      <c r="AB980" s="153"/>
      <c r="AC980" s="154"/>
      <c r="AD980" s="154"/>
      <c r="AE980" s="154"/>
      <c r="AF980" s="154"/>
      <c r="AG980" s="154"/>
      <c r="AH980" s="154"/>
      <c r="AI980" s="154"/>
      <c r="AJ980" s="154"/>
      <c r="AK980" s="154"/>
      <c r="AL980" s="154"/>
      <c r="AM980" s="154"/>
      <c r="AN980" s="154"/>
      <c r="AO980" s="154"/>
      <c r="AP980" s="152"/>
      <c r="AQ980" s="154"/>
      <c r="AR980" s="154"/>
      <c r="AS980" s="154"/>
    </row>
    <row r="981" customFormat="false" ht="15" hidden="false" customHeight="false" outlineLevel="0" collapsed="false">
      <c r="A981" s="29"/>
      <c r="B981" s="180"/>
      <c r="C981" s="181"/>
      <c r="D981" s="149"/>
      <c r="E981" s="149"/>
      <c r="F981" s="149"/>
      <c r="G981" s="149"/>
      <c r="H981" s="141"/>
      <c r="I981" s="143"/>
      <c r="J981" s="143"/>
      <c r="K981" s="143"/>
      <c r="L981" s="143"/>
      <c r="M981" s="143"/>
      <c r="N981" s="143"/>
      <c r="O981" s="143"/>
      <c r="P981" s="143"/>
      <c r="Q981" s="143"/>
      <c r="R981" s="143"/>
      <c r="S981" s="143"/>
      <c r="T981" s="143"/>
      <c r="U981" s="143"/>
      <c r="V981" s="143"/>
      <c r="W981" s="143"/>
      <c r="X981" s="143"/>
      <c r="Y981" s="143"/>
      <c r="Z981" s="152"/>
      <c r="AA981" s="143"/>
      <c r="AB981" s="153"/>
      <c r="AC981" s="154"/>
      <c r="AD981" s="154"/>
      <c r="AE981" s="154"/>
      <c r="AF981" s="154"/>
      <c r="AG981" s="154"/>
      <c r="AH981" s="154"/>
      <c r="AI981" s="154"/>
      <c r="AJ981" s="154"/>
      <c r="AK981" s="154"/>
      <c r="AL981" s="154"/>
      <c r="AM981" s="154"/>
      <c r="AN981" s="154"/>
      <c r="AO981" s="154"/>
      <c r="AP981" s="152"/>
      <c r="AQ981" s="154"/>
      <c r="AR981" s="154"/>
      <c r="AS981" s="154"/>
    </row>
    <row r="982" customFormat="false" ht="15" hidden="false" customHeight="false" outlineLevel="0" collapsed="false">
      <c r="A982" s="29"/>
      <c r="B982" s="180"/>
      <c r="C982" s="184"/>
      <c r="D982" s="149"/>
      <c r="E982" s="149"/>
      <c r="F982" s="149"/>
      <c r="G982" s="149"/>
      <c r="H982" s="141"/>
      <c r="I982" s="143"/>
      <c r="J982" s="143"/>
      <c r="K982" s="143"/>
      <c r="L982" s="143"/>
      <c r="M982" s="143"/>
      <c r="N982" s="143"/>
      <c r="O982" s="143"/>
      <c r="P982" s="143"/>
      <c r="Q982" s="143"/>
      <c r="R982" s="143"/>
      <c r="S982" s="143"/>
      <c r="T982" s="143"/>
      <c r="U982" s="143"/>
      <c r="V982" s="143"/>
      <c r="W982" s="143"/>
      <c r="X982" s="143"/>
      <c r="Y982" s="143"/>
      <c r="Z982" s="152"/>
      <c r="AA982" s="143"/>
      <c r="AB982" s="153"/>
      <c r="AC982" s="154"/>
      <c r="AD982" s="154"/>
      <c r="AE982" s="154"/>
      <c r="AF982" s="154"/>
      <c r="AG982" s="154"/>
      <c r="AH982" s="154"/>
      <c r="AI982" s="154"/>
      <c r="AJ982" s="154"/>
      <c r="AK982" s="154"/>
      <c r="AL982" s="154"/>
      <c r="AM982" s="154"/>
      <c r="AN982" s="154"/>
      <c r="AO982" s="154"/>
      <c r="AP982" s="152"/>
      <c r="AQ982" s="154"/>
      <c r="AR982" s="154"/>
      <c r="AS982" s="154"/>
    </row>
    <row r="983" customFormat="false" ht="15" hidden="false" customHeight="false" outlineLevel="0" collapsed="false">
      <c r="A983" s="29"/>
      <c r="B983" s="180"/>
      <c r="C983" s="185"/>
      <c r="D983" s="149"/>
      <c r="E983" s="149"/>
      <c r="F983" s="149"/>
      <c r="G983" s="149"/>
      <c r="H983" s="141"/>
      <c r="I983" s="143"/>
      <c r="J983" s="143"/>
      <c r="K983" s="143"/>
      <c r="L983" s="143"/>
      <c r="M983" s="143"/>
      <c r="N983" s="143"/>
      <c r="O983" s="143"/>
      <c r="P983" s="143"/>
      <c r="Q983" s="143"/>
      <c r="R983" s="143"/>
      <c r="S983" s="143"/>
      <c r="T983" s="143"/>
      <c r="U983" s="143"/>
      <c r="V983" s="143"/>
      <c r="W983" s="143"/>
      <c r="X983" s="143"/>
      <c r="Y983" s="143"/>
      <c r="Z983" s="152"/>
      <c r="AA983" s="143"/>
      <c r="AB983" s="153"/>
      <c r="AC983" s="154"/>
      <c r="AD983" s="154"/>
      <c r="AE983" s="154"/>
      <c r="AF983" s="154"/>
      <c r="AG983" s="154"/>
      <c r="AH983" s="154"/>
      <c r="AI983" s="154"/>
      <c r="AJ983" s="154"/>
      <c r="AK983" s="154"/>
      <c r="AL983" s="154"/>
      <c r="AM983" s="154"/>
      <c r="AN983" s="154"/>
      <c r="AO983" s="154"/>
      <c r="AP983" s="152"/>
      <c r="AQ983" s="154"/>
      <c r="AR983" s="154"/>
      <c r="AS983" s="154"/>
    </row>
    <row r="984" customFormat="false" ht="15" hidden="false" customHeight="false" outlineLevel="0" collapsed="false">
      <c r="A984" s="29"/>
      <c r="B984" s="180"/>
      <c r="C984" s="181"/>
      <c r="D984" s="149"/>
      <c r="E984" s="149"/>
      <c r="F984" s="149"/>
      <c r="G984" s="149"/>
      <c r="H984" s="141"/>
      <c r="I984" s="143"/>
      <c r="J984" s="143"/>
      <c r="K984" s="143"/>
      <c r="L984" s="143"/>
      <c r="M984" s="143"/>
      <c r="N984" s="143"/>
      <c r="O984" s="143"/>
      <c r="P984" s="143"/>
      <c r="Q984" s="143"/>
      <c r="R984" s="143"/>
      <c r="S984" s="143"/>
      <c r="T984" s="143"/>
      <c r="U984" s="143"/>
      <c r="V984" s="143"/>
      <c r="W984" s="143"/>
      <c r="X984" s="143"/>
      <c r="Y984" s="143"/>
      <c r="Z984" s="152"/>
      <c r="AA984" s="143"/>
      <c r="AB984" s="153"/>
      <c r="AC984" s="154"/>
      <c r="AD984" s="154"/>
      <c r="AE984" s="154"/>
      <c r="AF984" s="154"/>
      <c r="AG984" s="154"/>
      <c r="AH984" s="154"/>
      <c r="AI984" s="154"/>
      <c r="AJ984" s="154"/>
      <c r="AK984" s="154"/>
      <c r="AL984" s="154"/>
      <c r="AM984" s="154"/>
      <c r="AN984" s="154"/>
      <c r="AO984" s="154"/>
      <c r="AP984" s="152"/>
      <c r="AQ984" s="154"/>
      <c r="AR984" s="154"/>
      <c r="AS984" s="154"/>
    </row>
    <row r="985" customFormat="false" ht="15" hidden="false" customHeight="false" outlineLevel="0" collapsed="false">
      <c r="A985" s="29"/>
      <c r="B985" s="180"/>
      <c r="C985" s="184"/>
      <c r="D985" s="149"/>
      <c r="E985" s="149"/>
      <c r="F985" s="149"/>
      <c r="G985" s="149"/>
      <c r="H985" s="141"/>
      <c r="I985" s="143"/>
      <c r="J985" s="143"/>
      <c r="K985" s="143"/>
      <c r="L985" s="143"/>
      <c r="M985" s="143"/>
      <c r="N985" s="143"/>
      <c r="O985" s="143"/>
      <c r="P985" s="143"/>
      <c r="Q985" s="143"/>
      <c r="R985" s="143"/>
      <c r="S985" s="143"/>
      <c r="T985" s="143"/>
      <c r="U985" s="143"/>
      <c r="V985" s="143"/>
      <c r="W985" s="143"/>
      <c r="X985" s="143"/>
      <c r="Y985" s="143"/>
      <c r="Z985" s="152"/>
      <c r="AA985" s="143"/>
      <c r="AB985" s="153"/>
      <c r="AC985" s="154"/>
      <c r="AD985" s="154"/>
      <c r="AE985" s="154"/>
      <c r="AF985" s="154"/>
      <c r="AG985" s="154"/>
      <c r="AH985" s="154"/>
      <c r="AI985" s="154"/>
      <c r="AJ985" s="154"/>
      <c r="AK985" s="154"/>
      <c r="AL985" s="154"/>
      <c r="AM985" s="154"/>
      <c r="AN985" s="154"/>
      <c r="AO985" s="154"/>
      <c r="AP985" s="152"/>
      <c r="AQ985" s="154"/>
      <c r="AR985" s="154"/>
      <c r="AS985" s="154"/>
    </row>
    <row r="986" customFormat="false" ht="15" hidden="false" customHeight="false" outlineLevel="0" collapsed="false">
      <c r="A986" s="29"/>
      <c r="B986" s="180"/>
      <c r="C986" s="185"/>
      <c r="D986" s="149"/>
      <c r="E986" s="149"/>
      <c r="F986" s="149"/>
      <c r="G986" s="149"/>
      <c r="H986" s="141"/>
      <c r="I986" s="143"/>
      <c r="J986" s="143"/>
      <c r="K986" s="143"/>
      <c r="L986" s="143"/>
      <c r="M986" s="143"/>
      <c r="N986" s="143"/>
      <c r="O986" s="143"/>
      <c r="P986" s="143"/>
      <c r="Q986" s="143"/>
      <c r="R986" s="143"/>
      <c r="S986" s="143"/>
      <c r="T986" s="143"/>
      <c r="U986" s="143"/>
      <c r="V986" s="143"/>
      <c r="W986" s="143"/>
      <c r="X986" s="143"/>
      <c r="Y986" s="143"/>
      <c r="Z986" s="152"/>
      <c r="AA986" s="143"/>
      <c r="AB986" s="153"/>
      <c r="AC986" s="154"/>
      <c r="AD986" s="154"/>
      <c r="AE986" s="154"/>
      <c r="AF986" s="154"/>
      <c r="AG986" s="154"/>
      <c r="AH986" s="154"/>
      <c r="AI986" s="154"/>
      <c r="AJ986" s="154"/>
      <c r="AK986" s="154"/>
      <c r="AL986" s="154"/>
      <c r="AM986" s="154"/>
      <c r="AN986" s="154"/>
      <c r="AO986" s="154"/>
      <c r="AP986" s="152"/>
      <c r="AQ986" s="154"/>
      <c r="AR986" s="154"/>
      <c r="AS986" s="154"/>
    </row>
    <row r="987" customFormat="false" ht="15" hidden="false" customHeight="false" outlineLevel="0" collapsed="false">
      <c r="A987" s="29"/>
      <c r="B987" s="180"/>
      <c r="C987" s="181"/>
      <c r="D987" s="149"/>
      <c r="E987" s="149"/>
      <c r="F987" s="149"/>
      <c r="G987" s="149"/>
      <c r="H987" s="141"/>
      <c r="I987" s="143"/>
      <c r="J987" s="143"/>
      <c r="K987" s="143"/>
      <c r="L987" s="143"/>
      <c r="M987" s="143"/>
      <c r="N987" s="143"/>
      <c r="O987" s="143"/>
      <c r="P987" s="143"/>
      <c r="Q987" s="143"/>
      <c r="R987" s="143"/>
      <c r="S987" s="143"/>
      <c r="T987" s="143"/>
      <c r="U987" s="143"/>
      <c r="V987" s="143"/>
      <c r="W987" s="143"/>
      <c r="X987" s="143"/>
      <c r="Y987" s="143"/>
      <c r="Z987" s="152"/>
      <c r="AA987" s="143"/>
      <c r="AB987" s="153"/>
      <c r="AC987" s="154"/>
      <c r="AD987" s="154"/>
      <c r="AE987" s="154"/>
      <c r="AF987" s="154"/>
      <c r="AG987" s="154"/>
      <c r="AH987" s="154"/>
      <c r="AI987" s="154"/>
      <c r="AJ987" s="154"/>
      <c r="AK987" s="154"/>
      <c r="AL987" s="154"/>
      <c r="AM987" s="154"/>
      <c r="AN987" s="154"/>
      <c r="AO987" s="154"/>
      <c r="AP987" s="152"/>
      <c r="AQ987" s="154"/>
      <c r="AR987" s="154"/>
      <c r="AS987" s="154"/>
    </row>
    <row r="988" customFormat="false" ht="15" hidden="false" customHeight="false" outlineLevel="0" collapsed="false">
      <c r="A988" s="29"/>
      <c r="B988" s="180"/>
      <c r="C988" s="184"/>
      <c r="D988" s="149"/>
      <c r="E988" s="149"/>
      <c r="F988" s="149"/>
      <c r="G988" s="149"/>
      <c r="H988" s="141"/>
      <c r="I988" s="143"/>
      <c r="J988" s="143"/>
      <c r="K988" s="143"/>
      <c r="L988" s="143"/>
      <c r="M988" s="143"/>
      <c r="N988" s="143"/>
      <c r="O988" s="143"/>
      <c r="P988" s="143"/>
      <c r="Q988" s="143"/>
      <c r="R988" s="143"/>
      <c r="S988" s="143"/>
      <c r="T988" s="143"/>
      <c r="U988" s="143"/>
      <c r="V988" s="143"/>
      <c r="W988" s="143"/>
      <c r="X988" s="143"/>
      <c r="Y988" s="143"/>
      <c r="Z988" s="152"/>
      <c r="AA988" s="143"/>
      <c r="AB988" s="153"/>
      <c r="AC988" s="154"/>
      <c r="AD988" s="154"/>
      <c r="AE988" s="154"/>
      <c r="AF988" s="154"/>
      <c r="AG988" s="154"/>
      <c r="AH988" s="154"/>
      <c r="AI988" s="154"/>
      <c r="AJ988" s="154"/>
      <c r="AK988" s="154"/>
      <c r="AL988" s="154"/>
      <c r="AM988" s="154"/>
      <c r="AN988" s="154"/>
      <c r="AO988" s="154"/>
      <c r="AP988" s="152"/>
      <c r="AQ988" s="154"/>
      <c r="AR988" s="154"/>
      <c r="AS988" s="154"/>
    </row>
    <row r="989" customFormat="false" ht="15" hidden="false" customHeight="false" outlineLevel="0" collapsed="false">
      <c r="A989" s="29"/>
      <c r="B989" s="180"/>
      <c r="C989" s="185"/>
      <c r="D989" s="149"/>
      <c r="E989" s="149"/>
      <c r="F989" s="149"/>
      <c r="G989" s="149"/>
      <c r="H989" s="141"/>
      <c r="I989" s="143"/>
      <c r="J989" s="143"/>
      <c r="K989" s="143"/>
      <c r="L989" s="143"/>
      <c r="M989" s="143"/>
      <c r="N989" s="143"/>
      <c r="O989" s="143"/>
      <c r="P989" s="143"/>
      <c r="Q989" s="143"/>
      <c r="R989" s="143"/>
      <c r="S989" s="143"/>
      <c r="T989" s="143"/>
      <c r="U989" s="143"/>
      <c r="V989" s="143"/>
      <c r="W989" s="143"/>
      <c r="X989" s="143"/>
      <c r="Y989" s="143"/>
      <c r="Z989" s="152"/>
      <c r="AA989" s="143"/>
      <c r="AB989" s="153"/>
      <c r="AC989" s="154"/>
      <c r="AD989" s="154"/>
      <c r="AE989" s="154"/>
      <c r="AF989" s="154"/>
      <c r="AG989" s="154"/>
      <c r="AH989" s="154"/>
      <c r="AI989" s="154"/>
      <c r="AJ989" s="154"/>
      <c r="AK989" s="154"/>
      <c r="AL989" s="154"/>
      <c r="AM989" s="154"/>
      <c r="AN989" s="154"/>
      <c r="AO989" s="154"/>
      <c r="AP989" s="152"/>
      <c r="AQ989" s="154"/>
      <c r="AR989" s="154"/>
      <c r="AS989" s="154"/>
    </row>
    <row r="990" customFormat="false" ht="15" hidden="false" customHeight="false" outlineLevel="0" collapsed="false">
      <c r="A990" s="29"/>
      <c r="B990" s="180"/>
      <c r="C990" s="181"/>
      <c r="D990" s="149"/>
      <c r="E990" s="149"/>
      <c r="F990" s="149"/>
      <c r="G990" s="149"/>
      <c r="H990" s="141"/>
      <c r="I990" s="143"/>
      <c r="J990" s="143"/>
      <c r="K990" s="143"/>
      <c r="L990" s="143"/>
      <c r="M990" s="143"/>
      <c r="N990" s="143"/>
      <c r="O990" s="143"/>
      <c r="P990" s="143"/>
      <c r="Q990" s="143"/>
      <c r="R990" s="143"/>
      <c r="S990" s="143"/>
      <c r="T990" s="143"/>
      <c r="U990" s="143"/>
      <c r="V990" s="143"/>
      <c r="W990" s="143"/>
      <c r="X990" s="143"/>
      <c r="Y990" s="143"/>
      <c r="Z990" s="152"/>
      <c r="AA990" s="143"/>
      <c r="AB990" s="153"/>
      <c r="AC990" s="154"/>
      <c r="AD990" s="154"/>
      <c r="AE990" s="154"/>
      <c r="AF990" s="154"/>
      <c r="AG990" s="154"/>
      <c r="AH990" s="154"/>
      <c r="AI990" s="154"/>
      <c r="AJ990" s="154"/>
      <c r="AK990" s="154"/>
      <c r="AL990" s="154"/>
      <c r="AM990" s="154"/>
      <c r="AN990" s="154"/>
      <c r="AO990" s="154"/>
      <c r="AP990" s="152"/>
      <c r="AQ990" s="154"/>
      <c r="AR990" s="154"/>
      <c r="AS990" s="154"/>
    </row>
    <row r="991" customFormat="false" ht="15" hidden="false" customHeight="false" outlineLevel="0" collapsed="false">
      <c r="A991" s="29"/>
      <c r="B991" s="180"/>
      <c r="C991" s="184"/>
      <c r="D991" s="149"/>
      <c r="E991" s="149"/>
      <c r="F991" s="149"/>
      <c r="G991" s="149"/>
      <c r="H991" s="141"/>
      <c r="I991" s="143"/>
      <c r="J991" s="143"/>
      <c r="K991" s="143"/>
      <c r="L991" s="143"/>
      <c r="M991" s="143"/>
      <c r="N991" s="143"/>
      <c r="O991" s="143"/>
      <c r="P991" s="143"/>
      <c r="Q991" s="143"/>
      <c r="R991" s="143"/>
      <c r="S991" s="143"/>
      <c r="T991" s="143"/>
      <c r="U991" s="143"/>
      <c r="V991" s="143"/>
      <c r="W991" s="143"/>
      <c r="X991" s="143"/>
      <c r="Y991" s="143"/>
      <c r="Z991" s="152"/>
      <c r="AA991" s="143"/>
      <c r="AB991" s="153"/>
      <c r="AC991" s="154"/>
      <c r="AD991" s="154"/>
      <c r="AE991" s="154"/>
      <c r="AF991" s="154"/>
      <c r="AG991" s="154"/>
      <c r="AH991" s="154"/>
      <c r="AI991" s="154"/>
      <c r="AJ991" s="154"/>
      <c r="AK991" s="154"/>
      <c r="AL991" s="154"/>
      <c r="AM991" s="154"/>
      <c r="AN991" s="154"/>
      <c r="AO991" s="154"/>
      <c r="AP991" s="152"/>
      <c r="AQ991" s="154"/>
      <c r="AR991" s="154"/>
      <c r="AS991" s="154"/>
    </row>
    <row r="992" customFormat="false" ht="15" hidden="false" customHeight="false" outlineLevel="0" collapsed="false">
      <c r="A992" s="29"/>
      <c r="B992" s="180"/>
      <c r="C992" s="185"/>
      <c r="D992" s="149"/>
      <c r="E992" s="149"/>
      <c r="F992" s="149"/>
      <c r="G992" s="149"/>
      <c r="H992" s="141"/>
      <c r="I992" s="143"/>
      <c r="J992" s="143"/>
      <c r="K992" s="143"/>
      <c r="L992" s="143"/>
      <c r="M992" s="143"/>
      <c r="N992" s="143"/>
      <c r="O992" s="143"/>
      <c r="P992" s="143"/>
      <c r="Q992" s="143"/>
      <c r="R992" s="143"/>
      <c r="S992" s="143"/>
      <c r="T992" s="143"/>
      <c r="U992" s="143"/>
      <c r="V992" s="143"/>
      <c r="W992" s="143"/>
      <c r="X992" s="143"/>
      <c r="Y992" s="143"/>
      <c r="Z992" s="152"/>
      <c r="AA992" s="143"/>
      <c r="AB992" s="153"/>
      <c r="AC992" s="154"/>
      <c r="AD992" s="154"/>
      <c r="AE992" s="154"/>
      <c r="AF992" s="154"/>
      <c r="AG992" s="154"/>
      <c r="AH992" s="154"/>
      <c r="AI992" s="154"/>
      <c r="AJ992" s="154"/>
      <c r="AK992" s="154"/>
      <c r="AL992" s="154"/>
      <c r="AM992" s="154"/>
      <c r="AN992" s="154"/>
      <c r="AO992" s="154"/>
      <c r="AP992" s="152"/>
      <c r="AQ992" s="154"/>
      <c r="AR992" s="154"/>
      <c r="AS992" s="154"/>
    </row>
    <row r="993" customFormat="false" ht="15" hidden="false" customHeight="false" outlineLevel="0" collapsed="false">
      <c r="A993" s="29"/>
      <c r="B993" s="180"/>
      <c r="C993" s="181"/>
      <c r="D993" s="149"/>
      <c r="E993" s="149"/>
      <c r="F993" s="149"/>
      <c r="G993" s="149"/>
      <c r="H993" s="141"/>
      <c r="I993" s="143"/>
      <c r="J993" s="143"/>
      <c r="K993" s="143"/>
      <c r="L993" s="143"/>
      <c r="M993" s="143"/>
      <c r="N993" s="143"/>
      <c r="O993" s="143"/>
      <c r="P993" s="143"/>
      <c r="Q993" s="143"/>
      <c r="R993" s="143"/>
      <c r="S993" s="143"/>
      <c r="T993" s="143"/>
      <c r="U993" s="143"/>
      <c r="V993" s="143"/>
      <c r="W993" s="143"/>
      <c r="X993" s="143"/>
      <c r="Y993" s="143"/>
      <c r="Z993" s="152"/>
      <c r="AA993" s="143"/>
      <c r="AB993" s="153"/>
      <c r="AC993" s="154"/>
      <c r="AD993" s="154"/>
      <c r="AE993" s="154"/>
      <c r="AF993" s="154"/>
      <c r="AG993" s="154"/>
      <c r="AH993" s="154"/>
      <c r="AI993" s="154"/>
      <c r="AJ993" s="154"/>
      <c r="AK993" s="154"/>
      <c r="AL993" s="154"/>
      <c r="AM993" s="154"/>
      <c r="AN993" s="154"/>
      <c r="AO993" s="154"/>
      <c r="AP993" s="152"/>
      <c r="AQ993" s="154"/>
      <c r="AR993" s="154"/>
      <c r="AS993" s="154"/>
    </row>
    <row r="994" customFormat="false" ht="15" hidden="false" customHeight="false" outlineLevel="0" collapsed="false">
      <c r="A994" s="29"/>
      <c r="B994" s="180"/>
      <c r="C994" s="184"/>
      <c r="D994" s="149"/>
      <c r="E994" s="149"/>
      <c r="F994" s="149"/>
      <c r="G994" s="149"/>
      <c r="H994" s="141"/>
      <c r="I994" s="143"/>
      <c r="J994" s="143"/>
      <c r="K994" s="143"/>
      <c r="L994" s="143"/>
      <c r="M994" s="143"/>
      <c r="N994" s="143"/>
      <c r="O994" s="143"/>
      <c r="P994" s="143"/>
      <c r="Q994" s="143"/>
      <c r="R994" s="143"/>
      <c r="S994" s="143"/>
      <c r="T994" s="143"/>
      <c r="U994" s="143"/>
      <c r="V994" s="143"/>
      <c r="W994" s="143"/>
      <c r="X994" s="143"/>
      <c r="Y994" s="143"/>
      <c r="Z994" s="152"/>
      <c r="AA994" s="143"/>
      <c r="AB994" s="153"/>
      <c r="AC994" s="166"/>
      <c r="AD994" s="166"/>
      <c r="AE994" s="154"/>
      <c r="AF994" s="154"/>
      <c r="AG994" s="154"/>
      <c r="AH994" s="154"/>
      <c r="AI994" s="154"/>
      <c r="AJ994" s="154"/>
      <c r="AK994" s="154"/>
      <c r="AL994" s="154"/>
      <c r="AM994" s="154"/>
      <c r="AN994" s="154"/>
      <c r="AO994" s="154"/>
      <c r="AP994" s="152"/>
      <c r="AQ994" s="154"/>
      <c r="AR994" s="154"/>
      <c r="AS994" s="167"/>
    </row>
    <row r="995" customFormat="false" ht="15" hidden="false" customHeight="false" outlineLevel="0" collapsed="false">
      <c r="A995" s="29"/>
      <c r="B995" s="180"/>
      <c r="C995" s="185"/>
      <c r="D995" s="149"/>
      <c r="E995" s="149"/>
      <c r="F995" s="149"/>
      <c r="G995" s="149"/>
      <c r="H995" s="141"/>
      <c r="I995" s="143"/>
      <c r="J995" s="143"/>
      <c r="K995" s="143"/>
      <c r="L995" s="143"/>
      <c r="M995" s="143"/>
      <c r="N995" s="143"/>
      <c r="O995" s="143"/>
      <c r="P995" s="143"/>
      <c r="Q995" s="143"/>
      <c r="R995" s="143"/>
      <c r="S995" s="143"/>
      <c r="T995" s="143"/>
      <c r="U995" s="143"/>
      <c r="V995" s="143"/>
      <c r="W995" s="143"/>
      <c r="X995" s="143"/>
      <c r="Y995" s="143"/>
      <c r="Z995" s="152"/>
      <c r="AA995" s="143"/>
      <c r="AB995" s="153"/>
      <c r="AC995" s="166"/>
      <c r="AD995" s="166"/>
      <c r="AE995" s="166"/>
      <c r="AF995" s="166"/>
      <c r="AG995" s="166"/>
      <c r="AH995" s="166"/>
      <c r="AI995" s="166"/>
      <c r="AJ995" s="166"/>
      <c r="AK995" s="166"/>
      <c r="AL995" s="166"/>
      <c r="AM995" s="166"/>
      <c r="AN995" s="166"/>
      <c r="AO995" s="166"/>
      <c r="AP995" s="152"/>
      <c r="AQ995" s="167"/>
      <c r="AR995" s="167"/>
      <c r="AS995" s="167"/>
    </row>
    <row r="997" customFormat="false" ht="14.25" hidden="false" customHeight="false" outlineLevel="0" collapsed="false">
      <c r="B997" s="157"/>
      <c r="C997" s="158"/>
      <c r="D997" s="53"/>
      <c r="E997" s="53"/>
      <c r="F997" s="53"/>
      <c r="G997" s="53"/>
      <c r="H997" s="54"/>
      <c r="I997" s="55"/>
      <c r="J997" s="56"/>
      <c r="K997" s="55"/>
      <c r="L997" s="54"/>
      <c r="M997" s="54"/>
      <c r="N997" s="54"/>
      <c r="O997" s="57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157"/>
      <c r="AA997" s="53"/>
      <c r="AE997" s="157"/>
      <c r="AI997" s="157"/>
      <c r="AJ997" s="157"/>
      <c r="AK997" s="157"/>
      <c r="AL997" s="157"/>
    </row>
    <row r="998" customFormat="false" ht="14.25" hidden="false" customHeight="false" outlineLevel="0" collapsed="false">
      <c r="A998" s="105"/>
      <c r="B998" s="105"/>
      <c r="C998" s="105"/>
      <c r="D998" s="105"/>
      <c r="E998" s="105"/>
      <c r="F998" s="105"/>
      <c r="G998" s="105"/>
      <c r="H998" s="105"/>
      <c r="I998" s="105"/>
      <c r="J998" s="105"/>
      <c r="K998" s="105"/>
      <c r="L998" s="105"/>
      <c r="M998" s="105"/>
      <c r="N998" s="105"/>
      <c r="O998" s="105"/>
      <c r="P998" s="105"/>
      <c r="Q998" s="105"/>
      <c r="R998" s="105"/>
      <c r="S998" s="105"/>
      <c r="T998" s="105"/>
      <c r="U998" s="105"/>
      <c r="V998" s="105"/>
      <c r="W998" s="105"/>
      <c r="X998" s="105"/>
      <c r="Y998" s="105"/>
      <c r="Z998" s="105"/>
      <c r="AA998" s="105"/>
      <c r="AB998" s="105"/>
      <c r="AC998" s="105"/>
      <c r="AD998" s="105"/>
      <c r="AE998" s="105"/>
      <c r="AF998" s="105"/>
      <c r="AG998" s="105"/>
      <c r="AH998" s="105"/>
      <c r="AI998" s="105"/>
      <c r="AJ998" s="105"/>
      <c r="AK998" s="105"/>
      <c r="AL998" s="105"/>
      <c r="AM998" s="105"/>
      <c r="AN998" s="105"/>
      <c r="AO998" s="105"/>
      <c r="AP998" s="105"/>
      <c r="AQ998" s="105"/>
      <c r="AR998" s="105"/>
      <c r="AS998" s="105"/>
    </row>
    <row r="999" customFormat="false" ht="14.25" hidden="false" customHeight="false" outlineLevel="0" collapsed="false">
      <c r="A999" s="105"/>
      <c r="B999" s="105"/>
      <c r="C999" s="105"/>
      <c r="D999" s="105"/>
      <c r="E999" s="105"/>
      <c r="F999" s="105"/>
      <c r="G999" s="105"/>
      <c r="H999" s="105"/>
      <c r="I999" s="105"/>
      <c r="J999" s="105"/>
      <c r="K999" s="105"/>
      <c r="L999" s="105"/>
      <c r="M999" s="105"/>
      <c r="N999" s="105"/>
      <c r="O999" s="105"/>
      <c r="P999" s="105"/>
      <c r="Q999" s="105"/>
      <c r="R999" s="105"/>
      <c r="S999" s="105"/>
      <c r="T999" s="105"/>
      <c r="U999" s="105"/>
      <c r="V999" s="105"/>
      <c r="W999" s="105"/>
      <c r="X999" s="105"/>
      <c r="Y999" s="105"/>
      <c r="Z999" s="105"/>
      <c r="AA999" s="105"/>
      <c r="AB999" s="105"/>
      <c r="AC999" s="105"/>
      <c r="AD999" s="105"/>
      <c r="AE999" s="105"/>
      <c r="AF999" s="105"/>
      <c r="AG999" s="105"/>
      <c r="AH999" s="105"/>
      <c r="AI999" s="105"/>
      <c r="AJ999" s="105"/>
      <c r="AK999" s="105"/>
      <c r="AL999" s="105"/>
      <c r="AM999" s="105"/>
      <c r="AN999" s="105"/>
      <c r="AO999" s="105"/>
      <c r="AP999" s="105"/>
      <c r="AQ999" s="105"/>
      <c r="AR999" s="105"/>
      <c r="AS999" s="105"/>
    </row>
    <row r="1000" customFormat="false" ht="17.25" hidden="false" customHeight="false" outlineLevel="0" collapsed="false">
      <c r="A1000" s="106"/>
      <c r="B1000" s="106"/>
      <c r="C1000" s="106"/>
      <c r="D1000" s="106"/>
      <c r="E1000" s="106"/>
      <c r="F1000" s="106"/>
      <c r="G1000" s="106"/>
      <c r="H1000" s="106"/>
      <c r="I1000" s="106"/>
      <c r="J1000" s="106"/>
      <c r="K1000" s="106"/>
      <c r="L1000" s="106"/>
      <c r="M1000" s="106"/>
      <c r="N1000" s="106"/>
      <c r="O1000" s="106"/>
      <c r="P1000" s="106"/>
      <c r="Q1000" s="106"/>
      <c r="R1000" s="106"/>
      <c r="S1000" s="106"/>
      <c r="T1000" s="106"/>
      <c r="U1000" s="106"/>
      <c r="V1000" s="106"/>
      <c r="W1000" s="106"/>
      <c r="X1000" s="106"/>
      <c r="Y1000" s="106"/>
      <c r="Z1000" s="106"/>
      <c r="AA1000" s="106"/>
      <c r="AB1000" s="106"/>
      <c r="AC1000" s="106"/>
      <c r="AD1000" s="106"/>
      <c r="AE1000" s="106"/>
      <c r="AF1000" s="106"/>
      <c r="AG1000" s="106"/>
      <c r="AH1000" s="106"/>
      <c r="AI1000" s="106"/>
      <c r="AJ1000" s="106"/>
      <c r="AK1000" s="106"/>
      <c r="AL1000" s="106"/>
      <c r="AM1000" s="106"/>
      <c r="AN1000" s="106"/>
      <c r="AO1000" s="106"/>
      <c r="AP1000" s="106"/>
      <c r="AQ1000" s="106"/>
      <c r="AR1000" s="106"/>
      <c r="AS1000" s="106"/>
    </row>
    <row r="1001" customFormat="false" ht="15" hidden="false" customHeight="false" outlineLevel="0" collapsed="false">
      <c r="A1001" s="107"/>
      <c r="B1001" s="107"/>
      <c r="C1001" s="108"/>
      <c r="D1001" s="109"/>
      <c r="E1001" s="109"/>
      <c r="F1001" s="109"/>
      <c r="G1001" s="109"/>
      <c r="H1001" s="109"/>
      <c r="I1001" s="109"/>
      <c r="J1001" s="109"/>
      <c r="K1001" s="109"/>
      <c r="L1001" s="109"/>
      <c r="M1001" s="109"/>
      <c r="N1001" s="109"/>
      <c r="O1001" s="109"/>
      <c r="P1001" s="109"/>
      <c r="Q1001" s="109"/>
      <c r="R1001" s="109"/>
      <c r="S1001" s="109"/>
      <c r="T1001" s="109"/>
      <c r="U1001" s="109"/>
      <c r="V1001" s="109"/>
      <c r="W1001" s="109"/>
      <c r="X1001" s="109"/>
      <c r="Y1001" s="109"/>
      <c r="Z1001" s="109"/>
      <c r="AA1001" s="110"/>
      <c r="AB1001" s="111"/>
      <c r="AC1001" s="111"/>
      <c r="AD1001" s="111"/>
      <c r="AE1001" s="111"/>
      <c r="AF1001" s="111"/>
      <c r="AG1001" s="111"/>
      <c r="AH1001" s="111"/>
      <c r="AI1001" s="111"/>
      <c r="AJ1001" s="111"/>
      <c r="AK1001" s="111"/>
      <c r="AL1001" s="111"/>
      <c r="AM1001" s="112"/>
      <c r="AN1001" s="113"/>
      <c r="AO1001" s="113"/>
      <c r="AP1001" s="114"/>
      <c r="AQ1001" s="114"/>
      <c r="AR1001" s="114"/>
      <c r="AS1001" s="114"/>
    </row>
    <row r="1002" customFormat="false" ht="15" hidden="false" customHeight="false" outlineLevel="0" collapsed="false">
      <c r="A1002" s="107"/>
      <c r="B1002" s="107"/>
      <c r="C1002" s="60"/>
      <c r="D1002" s="110"/>
      <c r="E1002" s="110"/>
      <c r="F1002" s="110"/>
      <c r="G1002" s="110"/>
      <c r="H1002" s="115"/>
      <c r="I1002" s="115"/>
      <c r="J1002" s="109"/>
      <c r="K1002" s="109"/>
      <c r="L1002" s="109"/>
      <c r="M1002" s="109"/>
      <c r="N1002" s="109"/>
      <c r="O1002" s="109"/>
      <c r="P1002" s="109"/>
      <c r="Q1002" s="109"/>
      <c r="R1002" s="109"/>
      <c r="S1002" s="109"/>
      <c r="T1002" s="109"/>
      <c r="U1002" s="109"/>
      <c r="V1002" s="109"/>
      <c r="W1002" s="109"/>
      <c r="X1002" s="109"/>
      <c r="Y1002" s="109"/>
      <c r="Z1002" s="109"/>
      <c r="AA1002" s="110"/>
      <c r="AB1002" s="115"/>
      <c r="AC1002" s="115"/>
      <c r="AD1002" s="115"/>
      <c r="AE1002" s="111"/>
      <c r="AF1002" s="111"/>
      <c r="AG1002" s="111"/>
      <c r="AH1002" s="111"/>
      <c r="AI1002" s="115"/>
      <c r="AJ1002" s="115"/>
      <c r="AK1002" s="115"/>
      <c r="AL1002" s="115"/>
      <c r="AM1002" s="112"/>
      <c r="AN1002" s="116"/>
      <c r="AO1002" s="116"/>
      <c r="AP1002" s="114"/>
      <c r="AQ1002" s="114"/>
      <c r="AR1002" s="114"/>
      <c r="AS1002" s="114"/>
    </row>
    <row r="1003" customFormat="false" ht="15.75" hidden="false" customHeight="false" outlineLevel="0" collapsed="false">
      <c r="A1003" s="107"/>
      <c r="B1003" s="107"/>
      <c r="C1003" s="60"/>
      <c r="D1003" s="110"/>
      <c r="E1003" s="110"/>
      <c r="F1003" s="110"/>
      <c r="G1003" s="110"/>
      <c r="H1003" s="115"/>
      <c r="I1003" s="115"/>
      <c r="J1003" s="117"/>
      <c r="K1003" s="117"/>
      <c r="L1003" s="117"/>
      <c r="M1003" s="117"/>
      <c r="N1003" s="117"/>
      <c r="O1003" s="117"/>
      <c r="P1003" s="117"/>
      <c r="Q1003" s="117"/>
      <c r="R1003" s="117"/>
      <c r="S1003" s="117"/>
      <c r="T1003" s="117"/>
      <c r="U1003" s="117"/>
      <c r="V1003" s="117"/>
      <c r="W1003" s="117"/>
      <c r="X1003" s="117"/>
      <c r="Y1003" s="117"/>
      <c r="Z1003" s="117"/>
      <c r="AA1003" s="117"/>
      <c r="AB1003" s="115"/>
      <c r="AC1003" s="115"/>
      <c r="AD1003" s="115"/>
      <c r="AE1003" s="115"/>
      <c r="AF1003" s="115"/>
      <c r="AG1003" s="115"/>
      <c r="AH1003" s="115"/>
      <c r="AI1003" s="115"/>
      <c r="AJ1003" s="115"/>
      <c r="AK1003" s="115"/>
      <c r="AL1003" s="115"/>
      <c r="AM1003" s="112"/>
      <c r="AN1003" s="118"/>
      <c r="AO1003" s="118"/>
      <c r="AP1003" s="114"/>
      <c r="AQ1003" s="114"/>
      <c r="AR1003" s="114"/>
      <c r="AS1003" s="114"/>
    </row>
    <row r="1004" customFormat="false" ht="14.25" hidden="false" customHeight="false" outlineLevel="0" collapsed="false">
      <c r="A1004" s="119"/>
      <c r="B1004" s="120"/>
      <c r="C1004" s="121"/>
      <c r="D1004" s="122"/>
      <c r="E1004" s="122"/>
      <c r="F1004" s="122"/>
      <c r="G1004" s="122"/>
      <c r="H1004" s="122"/>
      <c r="I1004" s="122"/>
      <c r="J1004" s="122"/>
      <c r="K1004" s="122"/>
      <c r="L1004" s="122"/>
      <c r="M1004" s="122"/>
      <c r="N1004" s="122"/>
      <c r="O1004" s="122"/>
      <c r="P1004" s="122"/>
      <c r="Q1004" s="122"/>
      <c r="R1004" s="122"/>
      <c r="S1004" s="122"/>
      <c r="T1004" s="122"/>
      <c r="U1004" s="122"/>
      <c r="V1004" s="122"/>
      <c r="W1004" s="122"/>
      <c r="X1004" s="122"/>
      <c r="Y1004" s="122"/>
      <c r="Z1004" s="122"/>
      <c r="AA1004" s="168"/>
      <c r="AB1004" s="123"/>
      <c r="AC1004" s="124"/>
      <c r="AD1004" s="124"/>
      <c r="AE1004" s="124"/>
      <c r="AF1004" s="124"/>
      <c r="AG1004" s="124"/>
      <c r="AH1004" s="124"/>
      <c r="AI1004" s="124"/>
      <c r="AJ1004" s="124"/>
      <c r="AK1004" s="124"/>
      <c r="AL1004" s="124"/>
      <c r="AM1004" s="124"/>
      <c r="AN1004" s="124"/>
      <c r="AO1004" s="124"/>
      <c r="AP1004" s="124"/>
      <c r="AQ1004" s="125"/>
      <c r="AR1004" s="125"/>
      <c r="AS1004" s="125"/>
    </row>
    <row r="1005" customFormat="false" ht="15" hidden="false" customHeight="false" outlineLevel="0" collapsed="false">
      <c r="A1005" s="119"/>
      <c r="B1005" s="120"/>
      <c r="C1005" s="126"/>
      <c r="D1005" s="127"/>
      <c r="E1005" s="127"/>
      <c r="F1005" s="127"/>
      <c r="G1005" s="127"/>
      <c r="H1005" s="169"/>
      <c r="I1005" s="169"/>
      <c r="J1005" s="169"/>
      <c r="K1005" s="169"/>
      <c r="L1005" s="169"/>
      <c r="M1005" s="169"/>
      <c r="N1005" s="169"/>
      <c r="O1005" s="169"/>
      <c r="P1005" s="169"/>
      <c r="Q1005" s="169"/>
      <c r="R1005" s="170"/>
      <c r="S1005" s="170"/>
      <c r="T1005" s="170"/>
      <c r="U1005" s="170"/>
      <c r="V1005" s="170"/>
      <c r="W1005" s="170"/>
      <c r="X1005" s="170"/>
      <c r="Y1005" s="170"/>
      <c r="Z1005" s="130"/>
      <c r="AA1005" s="168"/>
      <c r="AB1005" s="123"/>
      <c r="AC1005" s="131"/>
      <c r="AD1005" s="131"/>
      <c r="AE1005" s="131"/>
      <c r="AF1005" s="131"/>
      <c r="AG1005" s="131"/>
      <c r="AH1005" s="131"/>
      <c r="AI1005" s="131"/>
      <c r="AJ1005" s="132"/>
      <c r="AK1005" s="132"/>
      <c r="AL1005" s="132"/>
      <c r="AM1005" s="132"/>
      <c r="AN1005" s="132"/>
      <c r="AO1005" s="132"/>
      <c r="AP1005" s="132"/>
      <c r="AQ1005" s="125"/>
      <c r="AR1005" s="125"/>
      <c r="AS1005" s="125"/>
    </row>
    <row r="1006" customFormat="false" ht="15" hidden="false" customHeight="false" outlineLevel="0" collapsed="false">
      <c r="A1006" s="119"/>
      <c r="B1006" s="120"/>
      <c r="C1006" s="126"/>
      <c r="D1006" s="127"/>
      <c r="E1006" s="127"/>
      <c r="F1006" s="127"/>
      <c r="G1006" s="127"/>
      <c r="H1006" s="170"/>
      <c r="I1006" s="169"/>
      <c r="J1006" s="170"/>
      <c r="K1006" s="170"/>
      <c r="L1006" s="170"/>
      <c r="M1006" s="170"/>
      <c r="N1006" s="170"/>
      <c r="O1006" s="170"/>
      <c r="P1006" s="170"/>
      <c r="Q1006" s="171"/>
      <c r="R1006" s="169"/>
      <c r="S1006" s="169"/>
      <c r="T1006" s="169"/>
      <c r="U1006" s="169"/>
      <c r="V1006" s="169"/>
      <c r="W1006" s="170"/>
      <c r="X1006" s="170"/>
      <c r="Y1006" s="170"/>
      <c r="Z1006" s="130"/>
      <c r="AA1006" s="168"/>
      <c r="AB1006" s="123"/>
      <c r="AC1006" s="191"/>
      <c r="AD1006" s="191"/>
      <c r="AE1006" s="191"/>
      <c r="AF1006" s="191"/>
      <c r="AG1006" s="192"/>
      <c r="AH1006" s="192"/>
      <c r="AI1006" s="191"/>
      <c r="AJ1006" s="191"/>
      <c r="AK1006" s="191"/>
      <c r="AL1006" s="191"/>
      <c r="AM1006" s="191"/>
      <c r="AN1006" s="192"/>
      <c r="AO1006" s="192"/>
      <c r="AP1006" s="193"/>
      <c r="AQ1006" s="125"/>
      <c r="AR1006" s="125"/>
      <c r="AS1006" s="125"/>
    </row>
    <row r="1007" customFormat="false" ht="14.25" hidden="false" customHeight="false" outlineLevel="0" collapsed="false">
      <c r="A1007" s="119"/>
      <c r="B1007" s="120"/>
      <c r="C1007" s="140"/>
      <c r="D1007" s="127"/>
      <c r="E1007" s="127"/>
      <c r="F1007" s="127"/>
      <c r="G1007" s="127"/>
      <c r="H1007" s="176"/>
      <c r="I1007" s="176"/>
      <c r="J1007" s="169"/>
      <c r="K1007" s="176"/>
      <c r="L1007" s="176"/>
      <c r="M1007" s="176"/>
      <c r="N1007" s="176"/>
      <c r="O1007" s="176"/>
      <c r="P1007" s="176"/>
      <c r="Q1007" s="176"/>
      <c r="R1007" s="176"/>
      <c r="S1007" s="177"/>
      <c r="T1007" s="177"/>
      <c r="U1007" s="177"/>
      <c r="V1007" s="169"/>
      <c r="W1007" s="169"/>
      <c r="X1007" s="169"/>
      <c r="Y1007" s="169"/>
      <c r="Z1007" s="143"/>
      <c r="AA1007" s="168"/>
      <c r="AB1007" s="123"/>
      <c r="AC1007" s="191"/>
      <c r="AD1007" s="191"/>
      <c r="AE1007" s="191"/>
      <c r="AF1007" s="191"/>
      <c r="AG1007" s="194"/>
      <c r="AH1007" s="194"/>
      <c r="AI1007" s="191"/>
      <c r="AJ1007" s="191"/>
      <c r="AK1007" s="191"/>
      <c r="AL1007" s="191"/>
      <c r="AM1007" s="191"/>
      <c r="AN1007" s="194"/>
      <c r="AO1007" s="194"/>
      <c r="AP1007" s="193"/>
      <c r="AQ1007" s="125"/>
      <c r="AR1007" s="125"/>
      <c r="AS1007" s="125"/>
    </row>
    <row r="1008" customFormat="false" ht="15" hidden="false" customHeight="false" outlineLevel="0" collapsed="false">
      <c r="A1008" s="29"/>
      <c r="B1008" s="180"/>
      <c r="C1008" s="181"/>
      <c r="D1008" s="149"/>
      <c r="E1008" s="149"/>
      <c r="F1008" s="149"/>
      <c r="G1008" s="149"/>
      <c r="H1008" s="182"/>
      <c r="I1008" s="182"/>
      <c r="J1008" s="182"/>
      <c r="K1008" s="182"/>
      <c r="L1008" s="182"/>
      <c r="M1008" s="182"/>
      <c r="N1008" s="182"/>
      <c r="O1008" s="182"/>
      <c r="P1008" s="182"/>
      <c r="Q1008" s="182"/>
      <c r="R1008" s="182"/>
      <c r="S1008" s="182"/>
      <c r="T1008" s="182"/>
      <c r="U1008" s="182"/>
      <c r="V1008" s="182"/>
      <c r="W1008" s="182"/>
      <c r="X1008" s="182"/>
      <c r="Y1008" s="141"/>
      <c r="Z1008" s="152"/>
      <c r="AA1008" s="143"/>
      <c r="AB1008" s="153"/>
      <c r="AC1008" s="154"/>
      <c r="AD1008" s="154"/>
      <c r="AE1008" s="154"/>
      <c r="AF1008" s="154"/>
      <c r="AG1008" s="154"/>
      <c r="AH1008" s="154"/>
      <c r="AI1008" s="154"/>
      <c r="AJ1008" s="165"/>
      <c r="AK1008" s="165"/>
      <c r="AL1008" s="154"/>
      <c r="AM1008" s="154"/>
      <c r="AN1008" s="154"/>
      <c r="AO1008" s="154"/>
      <c r="AP1008" s="152"/>
      <c r="AQ1008" s="154"/>
      <c r="AR1008" s="154"/>
      <c r="AS1008" s="154"/>
    </row>
    <row r="1009" customFormat="false" ht="15" hidden="false" customHeight="false" outlineLevel="0" collapsed="false">
      <c r="A1009" s="29"/>
      <c r="B1009" s="180"/>
      <c r="C1009" s="184"/>
      <c r="D1009" s="149"/>
      <c r="E1009" s="149"/>
      <c r="F1009" s="149"/>
      <c r="G1009" s="149"/>
      <c r="H1009" s="182"/>
      <c r="I1009" s="182"/>
      <c r="J1009" s="182"/>
      <c r="K1009" s="182"/>
      <c r="L1009" s="182"/>
      <c r="M1009" s="182"/>
      <c r="N1009" s="182"/>
      <c r="O1009" s="182"/>
      <c r="P1009" s="182"/>
      <c r="Q1009" s="182"/>
      <c r="R1009" s="182"/>
      <c r="S1009" s="182"/>
      <c r="T1009" s="182"/>
      <c r="U1009" s="182"/>
      <c r="V1009" s="182"/>
      <c r="W1009" s="182"/>
      <c r="X1009" s="182"/>
      <c r="Y1009" s="141"/>
      <c r="Z1009" s="152"/>
      <c r="AA1009" s="143"/>
      <c r="AB1009" s="153"/>
      <c r="AC1009" s="183"/>
      <c r="AD1009" s="183"/>
      <c r="AE1009" s="154"/>
      <c r="AF1009" s="154"/>
      <c r="AG1009" s="154"/>
      <c r="AH1009" s="154"/>
      <c r="AI1009" s="154"/>
      <c r="AJ1009" s="154"/>
      <c r="AK1009" s="154"/>
      <c r="AL1009" s="154"/>
      <c r="AM1009" s="154"/>
      <c r="AN1009" s="154"/>
      <c r="AO1009" s="154"/>
      <c r="AP1009" s="152"/>
      <c r="AQ1009" s="154"/>
      <c r="AR1009" s="154"/>
      <c r="AS1009" s="154"/>
    </row>
    <row r="1010" customFormat="false" ht="15" hidden="false" customHeight="false" outlineLevel="0" collapsed="false">
      <c r="A1010" s="29"/>
      <c r="B1010" s="180"/>
      <c r="C1010" s="185"/>
      <c r="D1010" s="149"/>
      <c r="E1010" s="149"/>
      <c r="F1010" s="149"/>
      <c r="G1010" s="149"/>
      <c r="H1010" s="182"/>
      <c r="I1010" s="182"/>
      <c r="J1010" s="182"/>
      <c r="K1010" s="182"/>
      <c r="L1010" s="182"/>
      <c r="M1010" s="182"/>
      <c r="N1010" s="182"/>
      <c r="O1010" s="182"/>
      <c r="P1010" s="182"/>
      <c r="Q1010" s="182"/>
      <c r="R1010" s="182"/>
      <c r="S1010" s="182"/>
      <c r="T1010" s="182"/>
      <c r="U1010" s="182"/>
      <c r="V1010" s="182"/>
      <c r="W1010" s="182"/>
      <c r="X1010" s="182"/>
      <c r="Y1010" s="141"/>
      <c r="Z1010" s="152"/>
      <c r="AA1010" s="143"/>
      <c r="AB1010" s="153"/>
      <c r="AC1010" s="183"/>
      <c r="AD1010" s="183"/>
      <c r="AE1010" s="154"/>
      <c r="AF1010" s="154"/>
      <c r="AG1010" s="154"/>
      <c r="AH1010" s="154"/>
      <c r="AI1010" s="154"/>
      <c r="AJ1010" s="154"/>
      <c r="AK1010" s="154"/>
      <c r="AL1010" s="154"/>
      <c r="AM1010" s="154"/>
      <c r="AN1010" s="154"/>
      <c r="AO1010" s="154"/>
      <c r="AP1010" s="183"/>
      <c r="AQ1010" s="154"/>
      <c r="AR1010" s="154"/>
      <c r="AS1010" s="154"/>
    </row>
    <row r="1011" customFormat="false" ht="14.25" hidden="false" customHeight="false" outlineLevel="0" collapsed="false">
      <c r="A1011" s="29"/>
      <c r="B1011" s="147"/>
      <c r="C1011" s="148"/>
      <c r="D1011" s="149"/>
      <c r="E1011" s="149"/>
      <c r="F1011" s="149"/>
      <c r="G1011" s="149"/>
      <c r="H1011" s="182"/>
      <c r="I1011" s="182"/>
      <c r="J1011" s="182"/>
      <c r="K1011" s="182"/>
      <c r="L1011" s="182"/>
      <c r="M1011" s="182"/>
      <c r="N1011" s="182"/>
      <c r="O1011" s="182"/>
      <c r="P1011" s="182"/>
      <c r="Q1011" s="182"/>
      <c r="R1011" s="182"/>
      <c r="S1011" s="182"/>
      <c r="T1011" s="182"/>
      <c r="U1011" s="182"/>
      <c r="V1011" s="182"/>
      <c r="W1011" s="182"/>
      <c r="X1011" s="182"/>
      <c r="Y1011" s="141"/>
      <c r="Z1011" s="152"/>
      <c r="AA1011" s="143"/>
      <c r="AB1011" s="153"/>
      <c r="AC1011" s="154"/>
      <c r="AD1011" s="154"/>
      <c r="AE1011" s="154"/>
      <c r="AF1011" s="154"/>
      <c r="AG1011" s="154"/>
      <c r="AH1011" s="154"/>
      <c r="AI1011" s="154"/>
      <c r="AJ1011" s="154"/>
      <c r="AK1011" s="154"/>
      <c r="AL1011" s="154"/>
      <c r="AM1011" s="154"/>
      <c r="AN1011" s="154"/>
      <c r="AO1011" s="154"/>
      <c r="AP1011" s="152"/>
      <c r="AQ1011" s="154"/>
      <c r="AR1011" s="154"/>
      <c r="AS1011" s="154"/>
    </row>
    <row r="1012" customFormat="false" ht="14.25" hidden="false" customHeight="false" outlineLevel="0" collapsed="false">
      <c r="A1012" s="29"/>
      <c r="B1012" s="147"/>
      <c r="C1012" s="155"/>
      <c r="D1012" s="149"/>
      <c r="E1012" s="149"/>
      <c r="F1012" s="149"/>
      <c r="G1012" s="149"/>
      <c r="H1012" s="182"/>
      <c r="I1012" s="182"/>
      <c r="J1012" s="182"/>
      <c r="K1012" s="182"/>
      <c r="L1012" s="182"/>
      <c r="M1012" s="182"/>
      <c r="N1012" s="182"/>
      <c r="O1012" s="182"/>
      <c r="P1012" s="182"/>
      <c r="Q1012" s="182"/>
      <c r="R1012" s="182"/>
      <c r="S1012" s="182"/>
      <c r="T1012" s="182"/>
      <c r="U1012" s="182"/>
      <c r="V1012" s="182"/>
      <c r="W1012" s="182"/>
      <c r="X1012" s="182"/>
      <c r="Y1012" s="141"/>
      <c r="Z1012" s="152"/>
      <c r="AA1012" s="143"/>
      <c r="AB1012" s="153"/>
      <c r="AC1012" s="183"/>
      <c r="AD1012" s="183"/>
      <c r="AE1012" s="154"/>
      <c r="AF1012" s="154"/>
      <c r="AG1012" s="154"/>
      <c r="AH1012" s="154"/>
      <c r="AI1012" s="154"/>
      <c r="AJ1012" s="154"/>
      <c r="AK1012" s="154"/>
      <c r="AL1012" s="154"/>
      <c r="AM1012" s="154"/>
      <c r="AN1012" s="154"/>
      <c r="AO1012" s="154"/>
      <c r="AP1012" s="152"/>
      <c r="AQ1012" s="154"/>
      <c r="AR1012" s="154"/>
      <c r="AS1012" s="154"/>
    </row>
    <row r="1013" customFormat="false" ht="14.25" hidden="false" customHeight="false" outlineLevel="0" collapsed="false">
      <c r="A1013" s="29"/>
      <c r="B1013" s="147"/>
      <c r="C1013" s="156"/>
      <c r="D1013" s="149"/>
      <c r="E1013" s="149"/>
      <c r="F1013" s="149"/>
      <c r="G1013" s="149"/>
      <c r="H1013" s="182"/>
      <c r="I1013" s="182"/>
      <c r="J1013" s="182"/>
      <c r="K1013" s="182"/>
      <c r="L1013" s="182"/>
      <c r="M1013" s="182"/>
      <c r="N1013" s="182"/>
      <c r="O1013" s="182"/>
      <c r="P1013" s="182"/>
      <c r="Q1013" s="182"/>
      <c r="R1013" s="182"/>
      <c r="S1013" s="182"/>
      <c r="T1013" s="182"/>
      <c r="U1013" s="182"/>
      <c r="V1013" s="182"/>
      <c r="W1013" s="182"/>
      <c r="X1013" s="182"/>
      <c r="Y1013" s="141"/>
      <c r="Z1013" s="152"/>
      <c r="AA1013" s="143"/>
      <c r="AB1013" s="153"/>
      <c r="AC1013" s="183"/>
      <c r="AD1013" s="183"/>
      <c r="AE1013" s="154"/>
      <c r="AF1013" s="154"/>
      <c r="AG1013" s="154"/>
      <c r="AH1013" s="154"/>
      <c r="AI1013" s="154"/>
      <c r="AJ1013" s="154"/>
      <c r="AK1013" s="154"/>
      <c r="AL1013" s="154"/>
      <c r="AM1013" s="154"/>
      <c r="AN1013" s="154"/>
      <c r="AO1013" s="154"/>
      <c r="AP1013" s="183"/>
      <c r="AQ1013" s="154"/>
      <c r="AR1013" s="154"/>
      <c r="AS1013" s="154"/>
    </row>
    <row r="1014" customFormat="false" ht="14.25" hidden="false" customHeight="false" outlineLevel="0" collapsed="false">
      <c r="A1014" s="29"/>
      <c r="B1014" s="147"/>
      <c r="C1014" s="148"/>
      <c r="D1014" s="149"/>
      <c r="E1014" s="149"/>
      <c r="F1014" s="149"/>
      <c r="G1014" s="149"/>
      <c r="H1014" s="182"/>
      <c r="I1014" s="182"/>
      <c r="J1014" s="182"/>
      <c r="K1014" s="182"/>
      <c r="L1014" s="182"/>
      <c r="M1014" s="182"/>
      <c r="N1014" s="182"/>
      <c r="O1014" s="182"/>
      <c r="P1014" s="182"/>
      <c r="Q1014" s="182"/>
      <c r="R1014" s="182"/>
      <c r="S1014" s="182"/>
      <c r="T1014" s="182"/>
      <c r="U1014" s="182"/>
      <c r="V1014" s="182"/>
      <c r="W1014" s="182"/>
      <c r="X1014" s="182"/>
      <c r="Y1014" s="141"/>
      <c r="Z1014" s="152"/>
      <c r="AA1014" s="143"/>
      <c r="AB1014" s="153"/>
      <c r="AC1014" s="154"/>
      <c r="AD1014" s="154"/>
      <c r="AE1014" s="154"/>
      <c r="AF1014" s="154"/>
      <c r="AG1014" s="154"/>
      <c r="AH1014" s="154"/>
      <c r="AI1014" s="154"/>
      <c r="AJ1014" s="165"/>
      <c r="AK1014" s="165"/>
      <c r="AL1014" s="154"/>
      <c r="AM1014" s="154"/>
      <c r="AN1014" s="154"/>
      <c r="AO1014" s="154"/>
      <c r="AP1014" s="152"/>
      <c r="AQ1014" s="154"/>
      <c r="AR1014" s="154"/>
      <c r="AS1014" s="154"/>
    </row>
    <row r="1015" customFormat="false" ht="14.25" hidden="false" customHeight="false" outlineLevel="0" collapsed="false">
      <c r="A1015" s="29"/>
      <c r="B1015" s="147"/>
      <c r="C1015" s="155"/>
      <c r="D1015" s="149"/>
      <c r="E1015" s="149"/>
      <c r="F1015" s="149"/>
      <c r="G1015" s="149"/>
      <c r="H1015" s="182"/>
      <c r="I1015" s="182"/>
      <c r="J1015" s="182"/>
      <c r="K1015" s="182"/>
      <c r="L1015" s="182"/>
      <c r="M1015" s="182"/>
      <c r="N1015" s="182"/>
      <c r="O1015" s="182"/>
      <c r="P1015" s="182"/>
      <c r="Q1015" s="182"/>
      <c r="R1015" s="182"/>
      <c r="S1015" s="182"/>
      <c r="T1015" s="182"/>
      <c r="U1015" s="182"/>
      <c r="V1015" s="182"/>
      <c r="W1015" s="182"/>
      <c r="X1015" s="182"/>
      <c r="Y1015" s="141"/>
      <c r="Z1015" s="152"/>
      <c r="AA1015" s="143"/>
      <c r="AB1015" s="153"/>
      <c r="AC1015" s="183"/>
      <c r="AD1015" s="183"/>
      <c r="AE1015" s="154"/>
      <c r="AF1015" s="154"/>
      <c r="AG1015" s="154"/>
      <c r="AH1015" s="154"/>
      <c r="AI1015" s="154"/>
      <c r="AJ1015" s="154"/>
      <c r="AK1015" s="154"/>
      <c r="AL1015" s="154"/>
      <c r="AM1015" s="154"/>
      <c r="AN1015" s="154"/>
      <c r="AO1015" s="154"/>
      <c r="AP1015" s="152"/>
      <c r="AQ1015" s="154"/>
      <c r="AR1015" s="154"/>
      <c r="AS1015" s="154"/>
    </row>
    <row r="1016" customFormat="false" ht="14.25" hidden="false" customHeight="false" outlineLevel="0" collapsed="false">
      <c r="A1016" s="29"/>
      <c r="B1016" s="147"/>
      <c r="C1016" s="156"/>
      <c r="D1016" s="149"/>
      <c r="E1016" s="149"/>
      <c r="F1016" s="149"/>
      <c r="G1016" s="149"/>
      <c r="H1016" s="182"/>
      <c r="I1016" s="182"/>
      <c r="J1016" s="182"/>
      <c r="K1016" s="182"/>
      <c r="L1016" s="182"/>
      <c r="M1016" s="182"/>
      <c r="N1016" s="182"/>
      <c r="O1016" s="182"/>
      <c r="P1016" s="182"/>
      <c r="Q1016" s="182"/>
      <c r="R1016" s="182"/>
      <c r="S1016" s="182"/>
      <c r="T1016" s="182"/>
      <c r="U1016" s="182"/>
      <c r="V1016" s="182"/>
      <c r="W1016" s="182"/>
      <c r="X1016" s="182"/>
      <c r="Y1016" s="141"/>
      <c r="Z1016" s="152"/>
      <c r="AA1016" s="143"/>
      <c r="AB1016" s="153"/>
      <c r="AC1016" s="183"/>
      <c r="AD1016" s="183"/>
      <c r="AE1016" s="154"/>
      <c r="AF1016" s="154"/>
      <c r="AG1016" s="154"/>
      <c r="AH1016" s="154"/>
      <c r="AI1016" s="154"/>
      <c r="AJ1016" s="154"/>
      <c r="AK1016" s="154"/>
      <c r="AL1016" s="154"/>
      <c r="AM1016" s="154"/>
      <c r="AN1016" s="154"/>
      <c r="AO1016" s="154"/>
      <c r="AP1016" s="183"/>
      <c r="AQ1016" s="154"/>
      <c r="AR1016" s="154"/>
      <c r="AS1016" s="154"/>
    </row>
    <row r="1017" customFormat="false" ht="14.25" hidden="false" customHeight="false" outlineLevel="0" collapsed="false">
      <c r="A1017" s="29"/>
      <c r="B1017" s="147"/>
      <c r="C1017" s="148"/>
      <c r="D1017" s="149"/>
      <c r="E1017" s="149"/>
      <c r="F1017" s="149"/>
      <c r="G1017" s="149"/>
      <c r="H1017" s="182"/>
      <c r="I1017" s="182"/>
      <c r="J1017" s="182"/>
      <c r="K1017" s="182"/>
      <c r="L1017" s="182"/>
      <c r="M1017" s="182"/>
      <c r="N1017" s="182"/>
      <c r="O1017" s="182"/>
      <c r="P1017" s="182"/>
      <c r="Q1017" s="182"/>
      <c r="R1017" s="182"/>
      <c r="S1017" s="182"/>
      <c r="T1017" s="182"/>
      <c r="U1017" s="182"/>
      <c r="V1017" s="182"/>
      <c r="W1017" s="182"/>
      <c r="X1017" s="182"/>
      <c r="Y1017" s="141"/>
      <c r="Z1017" s="152"/>
      <c r="AA1017" s="143"/>
      <c r="AB1017" s="153"/>
      <c r="AC1017" s="154"/>
      <c r="AD1017" s="154"/>
      <c r="AE1017" s="154"/>
      <c r="AF1017" s="154"/>
      <c r="AG1017" s="154"/>
      <c r="AH1017" s="154"/>
      <c r="AI1017" s="154"/>
      <c r="AJ1017" s="154"/>
      <c r="AK1017" s="154"/>
      <c r="AL1017" s="154"/>
      <c r="AM1017" s="154"/>
      <c r="AN1017" s="154"/>
      <c r="AO1017" s="154"/>
      <c r="AP1017" s="152"/>
      <c r="AQ1017" s="154"/>
      <c r="AR1017" s="154"/>
      <c r="AS1017" s="154"/>
    </row>
    <row r="1018" customFormat="false" ht="14.25" hidden="false" customHeight="false" outlineLevel="0" collapsed="false">
      <c r="A1018" s="29"/>
      <c r="B1018" s="147"/>
      <c r="C1018" s="155"/>
      <c r="D1018" s="149"/>
      <c r="E1018" s="149"/>
      <c r="F1018" s="149"/>
      <c r="G1018" s="149"/>
      <c r="H1018" s="182"/>
      <c r="I1018" s="182"/>
      <c r="J1018" s="182"/>
      <c r="K1018" s="182"/>
      <c r="L1018" s="182"/>
      <c r="M1018" s="182"/>
      <c r="N1018" s="182"/>
      <c r="O1018" s="182"/>
      <c r="P1018" s="182"/>
      <c r="Q1018" s="182"/>
      <c r="R1018" s="182"/>
      <c r="S1018" s="182"/>
      <c r="T1018" s="182"/>
      <c r="U1018" s="182"/>
      <c r="V1018" s="182"/>
      <c r="W1018" s="182"/>
      <c r="X1018" s="182"/>
      <c r="Y1018" s="141"/>
      <c r="Z1018" s="152"/>
      <c r="AA1018" s="143"/>
      <c r="AB1018" s="153"/>
      <c r="AC1018" s="183"/>
      <c r="AD1018" s="183"/>
      <c r="AE1018" s="154"/>
      <c r="AF1018" s="154"/>
      <c r="AG1018" s="154"/>
      <c r="AH1018" s="154"/>
      <c r="AI1018" s="154"/>
      <c r="AJ1018" s="154"/>
      <c r="AK1018" s="154"/>
      <c r="AL1018" s="154"/>
      <c r="AM1018" s="154"/>
      <c r="AN1018" s="154"/>
      <c r="AO1018" s="154"/>
      <c r="AP1018" s="152"/>
      <c r="AQ1018" s="154"/>
      <c r="AR1018" s="154"/>
      <c r="AS1018" s="154"/>
    </row>
    <row r="1019" customFormat="false" ht="14.25" hidden="false" customHeight="false" outlineLevel="0" collapsed="false">
      <c r="A1019" s="29"/>
      <c r="B1019" s="147"/>
      <c r="C1019" s="156"/>
      <c r="D1019" s="149"/>
      <c r="E1019" s="149"/>
      <c r="F1019" s="149"/>
      <c r="G1019" s="149"/>
      <c r="H1019" s="182"/>
      <c r="I1019" s="182"/>
      <c r="J1019" s="182"/>
      <c r="K1019" s="182"/>
      <c r="L1019" s="182"/>
      <c r="M1019" s="182"/>
      <c r="N1019" s="182"/>
      <c r="O1019" s="182"/>
      <c r="P1019" s="143"/>
      <c r="Q1019" s="143"/>
      <c r="R1019" s="143"/>
      <c r="S1019" s="182"/>
      <c r="T1019" s="182"/>
      <c r="U1019" s="182"/>
      <c r="V1019" s="182"/>
      <c r="W1019" s="182"/>
      <c r="X1019" s="182"/>
      <c r="Y1019" s="141"/>
      <c r="Z1019" s="152"/>
      <c r="AA1019" s="143"/>
      <c r="AB1019" s="153"/>
      <c r="AC1019" s="183"/>
      <c r="AD1019" s="183"/>
      <c r="AE1019" s="154"/>
      <c r="AF1019" s="154"/>
      <c r="AG1019" s="154"/>
      <c r="AH1019" s="154"/>
      <c r="AI1019" s="154"/>
      <c r="AJ1019" s="154"/>
      <c r="AK1019" s="154"/>
      <c r="AL1019" s="154"/>
      <c r="AM1019" s="154"/>
      <c r="AN1019" s="154"/>
      <c r="AO1019" s="154"/>
      <c r="AP1019" s="183"/>
      <c r="AQ1019" s="154"/>
      <c r="AR1019" s="154"/>
      <c r="AS1019" s="154"/>
    </row>
    <row r="1020" customFormat="false" ht="14.25" hidden="false" customHeight="false" outlineLevel="0" collapsed="false">
      <c r="A1020" s="29"/>
      <c r="B1020" s="147"/>
      <c r="C1020" s="148"/>
      <c r="D1020" s="149"/>
      <c r="E1020" s="149"/>
      <c r="F1020" s="149"/>
      <c r="G1020" s="149"/>
      <c r="H1020" s="182"/>
      <c r="I1020" s="182"/>
      <c r="J1020" s="182"/>
      <c r="K1020" s="182"/>
      <c r="L1020" s="182"/>
      <c r="M1020" s="182"/>
      <c r="N1020" s="182"/>
      <c r="O1020" s="182"/>
      <c r="P1020" s="143"/>
      <c r="Q1020" s="143"/>
      <c r="R1020" s="143"/>
      <c r="S1020" s="182"/>
      <c r="T1020" s="182"/>
      <c r="U1020" s="182"/>
      <c r="V1020" s="182"/>
      <c r="W1020" s="182"/>
      <c r="X1020" s="182"/>
      <c r="Y1020" s="141"/>
      <c r="Z1020" s="152"/>
      <c r="AA1020" s="143"/>
      <c r="AB1020" s="153"/>
      <c r="AC1020" s="154"/>
      <c r="AD1020" s="154"/>
      <c r="AE1020" s="154"/>
      <c r="AF1020" s="154"/>
      <c r="AG1020" s="154"/>
      <c r="AH1020" s="154"/>
      <c r="AI1020" s="154"/>
      <c r="AJ1020" s="165"/>
      <c r="AK1020" s="165"/>
      <c r="AL1020" s="154"/>
      <c r="AM1020" s="154"/>
      <c r="AN1020" s="154"/>
      <c r="AO1020" s="154"/>
      <c r="AP1020" s="152"/>
      <c r="AQ1020" s="154"/>
      <c r="AR1020" s="154"/>
      <c r="AS1020" s="154"/>
    </row>
    <row r="1021" customFormat="false" ht="14.25" hidden="false" customHeight="false" outlineLevel="0" collapsed="false">
      <c r="A1021" s="29"/>
      <c r="B1021" s="147"/>
      <c r="C1021" s="155"/>
      <c r="D1021" s="149"/>
      <c r="E1021" s="149"/>
      <c r="F1021" s="149"/>
      <c r="G1021" s="149"/>
      <c r="H1021" s="182"/>
      <c r="I1021" s="182"/>
      <c r="J1021" s="182"/>
      <c r="K1021" s="182"/>
      <c r="L1021" s="182"/>
      <c r="M1021" s="182"/>
      <c r="N1021" s="182"/>
      <c r="O1021" s="182"/>
      <c r="P1021" s="143"/>
      <c r="Q1021" s="143"/>
      <c r="R1021" s="143"/>
      <c r="S1021" s="182"/>
      <c r="T1021" s="182"/>
      <c r="U1021" s="182"/>
      <c r="V1021" s="182"/>
      <c r="W1021" s="182"/>
      <c r="X1021" s="182"/>
      <c r="Y1021" s="141"/>
      <c r="Z1021" s="152"/>
      <c r="AA1021" s="143"/>
      <c r="AB1021" s="153"/>
      <c r="AC1021" s="183"/>
      <c r="AD1021" s="183"/>
      <c r="AE1021" s="154"/>
      <c r="AF1021" s="154"/>
      <c r="AG1021" s="154"/>
      <c r="AH1021" s="154"/>
      <c r="AI1021" s="154"/>
      <c r="AJ1021" s="154"/>
      <c r="AK1021" s="154"/>
      <c r="AL1021" s="154"/>
      <c r="AM1021" s="154"/>
      <c r="AN1021" s="154"/>
      <c r="AO1021" s="154"/>
      <c r="AP1021" s="152"/>
      <c r="AQ1021" s="154"/>
      <c r="AR1021" s="154"/>
      <c r="AS1021" s="154"/>
    </row>
    <row r="1022" customFormat="false" ht="14.25" hidden="false" customHeight="false" outlineLevel="0" collapsed="false">
      <c r="A1022" s="29"/>
      <c r="B1022" s="147"/>
      <c r="C1022" s="156"/>
      <c r="D1022" s="149"/>
      <c r="E1022" s="149"/>
      <c r="F1022" s="149"/>
      <c r="G1022" s="149"/>
      <c r="H1022" s="182"/>
      <c r="I1022" s="182"/>
      <c r="J1022" s="182"/>
      <c r="K1022" s="182"/>
      <c r="L1022" s="182"/>
      <c r="M1022" s="182"/>
      <c r="N1022" s="182"/>
      <c r="O1022" s="182"/>
      <c r="P1022" s="143"/>
      <c r="Q1022" s="143"/>
      <c r="R1022" s="143"/>
      <c r="S1022" s="182"/>
      <c r="T1022" s="182"/>
      <c r="U1022" s="182"/>
      <c r="V1022" s="182"/>
      <c r="W1022" s="182"/>
      <c r="X1022" s="182"/>
      <c r="Y1022" s="141"/>
      <c r="Z1022" s="152"/>
      <c r="AA1022" s="143"/>
      <c r="AB1022" s="153"/>
      <c r="AC1022" s="183"/>
      <c r="AD1022" s="183"/>
      <c r="AE1022" s="154"/>
      <c r="AF1022" s="154"/>
      <c r="AG1022" s="154"/>
      <c r="AH1022" s="154"/>
      <c r="AI1022" s="154"/>
      <c r="AJ1022" s="154"/>
      <c r="AK1022" s="154"/>
      <c r="AL1022" s="154"/>
      <c r="AM1022" s="154"/>
      <c r="AN1022" s="154"/>
      <c r="AO1022" s="154"/>
      <c r="AP1022" s="152"/>
      <c r="AQ1022" s="154"/>
      <c r="AR1022" s="154"/>
      <c r="AS1022" s="154"/>
    </row>
    <row r="1023" customFormat="false" ht="14.25" hidden="false" customHeight="false" outlineLevel="0" collapsed="false">
      <c r="A1023" s="29"/>
      <c r="B1023" s="147"/>
      <c r="C1023" s="148"/>
      <c r="D1023" s="149"/>
      <c r="E1023" s="149"/>
      <c r="F1023" s="149"/>
      <c r="G1023" s="149"/>
      <c r="H1023" s="182"/>
      <c r="I1023" s="182"/>
      <c r="J1023" s="182"/>
      <c r="K1023" s="182"/>
      <c r="L1023" s="182"/>
      <c r="M1023" s="182"/>
      <c r="N1023" s="182"/>
      <c r="O1023" s="182"/>
      <c r="P1023" s="143"/>
      <c r="Q1023" s="143"/>
      <c r="R1023" s="143"/>
      <c r="S1023" s="182"/>
      <c r="T1023" s="182"/>
      <c r="U1023" s="182"/>
      <c r="V1023" s="182"/>
      <c r="W1023" s="182"/>
      <c r="X1023" s="182"/>
      <c r="Y1023" s="141"/>
      <c r="Z1023" s="152"/>
      <c r="AA1023" s="143"/>
      <c r="AB1023" s="153"/>
      <c r="AC1023" s="154"/>
      <c r="AD1023" s="154"/>
      <c r="AE1023" s="154"/>
      <c r="AF1023" s="154"/>
      <c r="AG1023" s="154"/>
      <c r="AH1023" s="154"/>
      <c r="AI1023" s="154"/>
      <c r="AJ1023" s="165"/>
      <c r="AK1023" s="165"/>
      <c r="AL1023" s="154"/>
      <c r="AM1023" s="154"/>
      <c r="AN1023" s="154"/>
      <c r="AO1023" s="154"/>
      <c r="AP1023" s="152"/>
      <c r="AQ1023" s="154"/>
      <c r="AR1023" s="154"/>
      <c r="AS1023" s="154"/>
    </row>
    <row r="1024" customFormat="false" ht="14.25" hidden="false" customHeight="false" outlineLevel="0" collapsed="false">
      <c r="A1024" s="29"/>
      <c r="B1024" s="147"/>
      <c r="C1024" s="155"/>
      <c r="D1024" s="149"/>
      <c r="E1024" s="149"/>
      <c r="F1024" s="149"/>
      <c r="G1024" s="149"/>
      <c r="H1024" s="182"/>
      <c r="I1024" s="182"/>
      <c r="J1024" s="182"/>
      <c r="K1024" s="182"/>
      <c r="L1024" s="182"/>
      <c r="M1024" s="182"/>
      <c r="N1024" s="182"/>
      <c r="O1024" s="182"/>
      <c r="P1024" s="143"/>
      <c r="Q1024" s="143"/>
      <c r="R1024" s="143"/>
      <c r="S1024" s="182"/>
      <c r="T1024" s="182"/>
      <c r="U1024" s="182"/>
      <c r="V1024" s="182"/>
      <c r="W1024" s="182"/>
      <c r="X1024" s="182"/>
      <c r="Y1024" s="141"/>
      <c r="Z1024" s="152"/>
      <c r="AA1024" s="143"/>
      <c r="AB1024" s="153"/>
      <c r="AC1024" s="183"/>
      <c r="AD1024" s="183"/>
      <c r="AE1024" s="154"/>
      <c r="AF1024" s="154"/>
      <c r="AG1024" s="154"/>
      <c r="AH1024" s="154"/>
      <c r="AI1024" s="154"/>
      <c r="AJ1024" s="154"/>
      <c r="AK1024" s="154"/>
      <c r="AL1024" s="154"/>
      <c r="AM1024" s="154"/>
      <c r="AN1024" s="154"/>
      <c r="AO1024" s="154"/>
      <c r="AP1024" s="152"/>
      <c r="AQ1024" s="154"/>
      <c r="AR1024" s="154"/>
      <c r="AS1024" s="154"/>
    </row>
    <row r="1025" customFormat="false" ht="14.25" hidden="false" customHeight="false" outlineLevel="0" collapsed="false">
      <c r="A1025" s="29"/>
      <c r="B1025" s="147"/>
      <c r="C1025" s="156"/>
      <c r="D1025" s="149"/>
      <c r="E1025" s="149"/>
      <c r="F1025" s="149"/>
      <c r="G1025" s="149"/>
      <c r="H1025" s="182"/>
      <c r="I1025" s="182"/>
      <c r="J1025" s="182"/>
      <c r="K1025" s="182"/>
      <c r="L1025" s="182"/>
      <c r="M1025" s="182"/>
      <c r="N1025" s="182"/>
      <c r="O1025" s="182"/>
      <c r="P1025" s="143"/>
      <c r="Q1025" s="143"/>
      <c r="R1025" s="143"/>
      <c r="S1025" s="182"/>
      <c r="T1025" s="182"/>
      <c r="U1025" s="182"/>
      <c r="V1025" s="182"/>
      <c r="W1025" s="182"/>
      <c r="X1025" s="182"/>
      <c r="Y1025" s="141"/>
      <c r="Z1025" s="152"/>
      <c r="AA1025" s="143"/>
      <c r="AB1025" s="153"/>
      <c r="AC1025" s="183"/>
      <c r="AD1025" s="183"/>
      <c r="AE1025" s="154"/>
      <c r="AF1025" s="154"/>
      <c r="AG1025" s="154"/>
      <c r="AH1025" s="154"/>
      <c r="AI1025" s="154"/>
      <c r="AJ1025" s="154"/>
      <c r="AK1025" s="154"/>
      <c r="AL1025" s="154"/>
      <c r="AM1025" s="154"/>
      <c r="AN1025" s="154"/>
      <c r="AO1025" s="154"/>
      <c r="AP1025" s="183"/>
      <c r="AQ1025" s="154"/>
      <c r="AR1025" s="154"/>
      <c r="AS1025" s="154"/>
    </row>
    <row r="1026" customFormat="false" ht="14.25" hidden="false" customHeight="false" outlineLevel="0" collapsed="false">
      <c r="A1026" s="29"/>
      <c r="B1026" s="147"/>
      <c r="C1026" s="148"/>
      <c r="D1026" s="149"/>
      <c r="E1026" s="149"/>
      <c r="F1026" s="149"/>
      <c r="G1026" s="149"/>
      <c r="H1026" s="182"/>
      <c r="I1026" s="182"/>
      <c r="J1026" s="182"/>
      <c r="K1026" s="182"/>
      <c r="L1026" s="182"/>
      <c r="M1026" s="182"/>
      <c r="N1026" s="182"/>
      <c r="O1026" s="182"/>
      <c r="P1026" s="143"/>
      <c r="Q1026" s="143"/>
      <c r="R1026" s="143"/>
      <c r="S1026" s="182"/>
      <c r="T1026" s="182"/>
      <c r="U1026" s="182"/>
      <c r="V1026" s="182"/>
      <c r="W1026" s="182"/>
      <c r="X1026" s="182"/>
      <c r="Y1026" s="141"/>
      <c r="Z1026" s="152"/>
      <c r="AA1026" s="143"/>
      <c r="AB1026" s="153"/>
      <c r="AC1026" s="154"/>
      <c r="AD1026" s="154"/>
      <c r="AE1026" s="154"/>
      <c r="AF1026" s="154"/>
      <c r="AG1026" s="154"/>
      <c r="AH1026" s="154"/>
      <c r="AI1026" s="154"/>
      <c r="AJ1026" s="154"/>
      <c r="AK1026" s="154"/>
      <c r="AL1026" s="154"/>
      <c r="AM1026" s="154"/>
      <c r="AN1026" s="154"/>
      <c r="AO1026" s="154"/>
      <c r="AP1026" s="152"/>
      <c r="AQ1026" s="154"/>
      <c r="AR1026" s="154"/>
      <c r="AS1026" s="154"/>
    </row>
    <row r="1027" customFormat="false" ht="14.25" hidden="false" customHeight="false" outlineLevel="0" collapsed="false">
      <c r="A1027" s="29"/>
      <c r="B1027" s="147"/>
      <c r="C1027" s="155"/>
      <c r="D1027" s="149"/>
      <c r="E1027" s="149"/>
      <c r="F1027" s="149"/>
      <c r="G1027" s="149"/>
      <c r="H1027" s="182"/>
      <c r="I1027" s="182"/>
      <c r="J1027" s="182"/>
      <c r="K1027" s="182"/>
      <c r="L1027" s="182"/>
      <c r="M1027" s="182"/>
      <c r="N1027" s="182"/>
      <c r="O1027" s="182"/>
      <c r="P1027" s="143"/>
      <c r="Q1027" s="143"/>
      <c r="R1027" s="143"/>
      <c r="S1027" s="182"/>
      <c r="T1027" s="182"/>
      <c r="U1027" s="182"/>
      <c r="V1027" s="182"/>
      <c r="W1027" s="182"/>
      <c r="X1027" s="182"/>
      <c r="Y1027" s="141"/>
      <c r="Z1027" s="152"/>
      <c r="AA1027" s="143"/>
      <c r="AB1027" s="153"/>
      <c r="AC1027" s="183"/>
      <c r="AD1027" s="183"/>
      <c r="AE1027" s="154"/>
      <c r="AF1027" s="154"/>
      <c r="AG1027" s="154"/>
      <c r="AH1027" s="154"/>
      <c r="AI1027" s="154"/>
      <c r="AJ1027" s="154"/>
      <c r="AK1027" s="154"/>
      <c r="AL1027" s="154"/>
      <c r="AM1027" s="154"/>
      <c r="AN1027" s="154"/>
      <c r="AO1027" s="154"/>
      <c r="AP1027" s="152"/>
      <c r="AQ1027" s="154"/>
      <c r="AR1027" s="154"/>
      <c r="AS1027" s="154"/>
    </row>
    <row r="1028" customFormat="false" ht="14.25" hidden="false" customHeight="false" outlineLevel="0" collapsed="false">
      <c r="A1028" s="29"/>
      <c r="B1028" s="147"/>
      <c r="C1028" s="156"/>
      <c r="D1028" s="149"/>
      <c r="E1028" s="149"/>
      <c r="F1028" s="149"/>
      <c r="G1028" s="149"/>
      <c r="H1028" s="182"/>
      <c r="I1028" s="182"/>
      <c r="J1028" s="182"/>
      <c r="K1028" s="182"/>
      <c r="L1028" s="182"/>
      <c r="M1028" s="182"/>
      <c r="N1028" s="182"/>
      <c r="O1028" s="182"/>
      <c r="P1028" s="143"/>
      <c r="Q1028" s="143"/>
      <c r="R1028" s="143"/>
      <c r="S1028" s="182"/>
      <c r="T1028" s="182"/>
      <c r="U1028" s="182"/>
      <c r="V1028" s="182"/>
      <c r="W1028" s="182"/>
      <c r="X1028" s="182"/>
      <c r="Y1028" s="141"/>
      <c r="Z1028" s="152"/>
      <c r="AA1028" s="143"/>
      <c r="AB1028" s="153"/>
      <c r="AC1028" s="183"/>
      <c r="AD1028" s="183"/>
      <c r="AE1028" s="154"/>
      <c r="AF1028" s="154"/>
      <c r="AG1028" s="154"/>
      <c r="AH1028" s="154"/>
      <c r="AI1028" s="154"/>
      <c r="AJ1028" s="154"/>
      <c r="AK1028" s="154"/>
      <c r="AL1028" s="154"/>
      <c r="AM1028" s="154"/>
      <c r="AN1028" s="154"/>
      <c r="AO1028" s="154"/>
      <c r="AP1028" s="183"/>
      <c r="AQ1028" s="154"/>
      <c r="AR1028" s="154"/>
      <c r="AS1028" s="154"/>
    </row>
    <row r="1029" customFormat="false" ht="15" hidden="false" customHeight="false" outlineLevel="0" collapsed="false">
      <c r="A1029" s="29"/>
      <c r="B1029" s="180"/>
      <c r="C1029" s="181"/>
      <c r="D1029" s="149"/>
      <c r="E1029" s="149"/>
      <c r="F1029" s="149"/>
      <c r="G1029" s="149"/>
      <c r="H1029" s="166"/>
      <c r="I1029" s="166"/>
      <c r="J1029" s="166"/>
      <c r="K1029" s="166"/>
      <c r="L1029" s="166"/>
      <c r="M1029" s="166"/>
      <c r="N1029" s="166"/>
      <c r="O1029" s="166"/>
      <c r="P1029" s="154"/>
      <c r="Q1029" s="154"/>
      <c r="R1029" s="154"/>
      <c r="S1029" s="166"/>
      <c r="T1029" s="166"/>
      <c r="U1029" s="166"/>
      <c r="V1029" s="166"/>
      <c r="W1029" s="166"/>
      <c r="X1029" s="166"/>
      <c r="Y1029" s="150"/>
      <c r="Z1029" s="152"/>
      <c r="AA1029" s="143"/>
      <c r="AB1029" s="153"/>
      <c r="AC1029" s="183"/>
      <c r="AD1029" s="183"/>
      <c r="AE1029" s="154"/>
      <c r="AF1029" s="154"/>
      <c r="AG1029" s="154"/>
      <c r="AH1029" s="154"/>
      <c r="AI1029" s="154"/>
      <c r="AJ1029" s="154"/>
      <c r="AK1029" s="154"/>
      <c r="AL1029" s="154"/>
      <c r="AM1029" s="154"/>
      <c r="AN1029" s="154"/>
      <c r="AO1029" s="154"/>
      <c r="AP1029" s="183"/>
      <c r="AQ1029" s="154"/>
      <c r="AR1029" s="154"/>
      <c r="AS1029" s="154"/>
    </row>
    <row r="1030" customFormat="false" ht="15" hidden="false" customHeight="false" outlineLevel="0" collapsed="false">
      <c r="A1030" s="29"/>
      <c r="B1030" s="180"/>
      <c r="C1030" s="184"/>
      <c r="D1030" s="149"/>
      <c r="E1030" s="149"/>
      <c r="F1030" s="149"/>
      <c r="G1030" s="149"/>
      <c r="H1030" s="166"/>
      <c r="I1030" s="166"/>
      <c r="J1030" s="166"/>
      <c r="K1030" s="166"/>
      <c r="L1030" s="166"/>
      <c r="M1030" s="166"/>
      <c r="N1030" s="166"/>
      <c r="O1030" s="166"/>
      <c r="P1030" s="154"/>
      <c r="Q1030" s="154"/>
      <c r="R1030" s="154"/>
      <c r="S1030" s="166"/>
      <c r="T1030" s="166"/>
      <c r="U1030" s="166"/>
      <c r="V1030" s="166"/>
      <c r="W1030" s="166"/>
      <c r="X1030" s="166"/>
      <c r="Y1030" s="150"/>
      <c r="Z1030" s="152"/>
      <c r="AA1030" s="143"/>
      <c r="AB1030" s="153"/>
      <c r="AC1030" s="183"/>
      <c r="AD1030" s="183"/>
      <c r="AE1030" s="154"/>
      <c r="AF1030" s="154"/>
      <c r="AG1030" s="154"/>
      <c r="AH1030" s="154"/>
      <c r="AI1030" s="154"/>
      <c r="AJ1030" s="154"/>
      <c r="AK1030" s="154"/>
      <c r="AL1030" s="154"/>
      <c r="AM1030" s="154"/>
      <c r="AN1030" s="154"/>
      <c r="AO1030" s="154"/>
      <c r="AP1030" s="183"/>
      <c r="AQ1030" s="154"/>
      <c r="AR1030" s="154"/>
      <c r="AS1030" s="154"/>
    </row>
    <row r="1031" customFormat="false" ht="15" hidden="false" customHeight="false" outlineLevel="0" collapsed="false">
      <c r="A1031" s="29"/>
      <c r="B1031" s="180"/>
      <c r="C1031" s="185"/>
      <c r="D1031" s="149"/>
      <c r="E1031" s="149"/>
      <c r="F1031" s="149"/>
      <c r="G1031" s="149"/>
      <c r="H1031" s="166"/>
      <c r="I1031" s="166"/>
      <c r="J1031" s="166"/>
      <c r="K1031" s="166"/>
      <c r="L1031" s="166"/>
      <c r="M1031" s="166"/>
      <c r="N1031" s="166"/>
      <c r="O1031" s="166"/>
      <c r="P1031" s="154"/>
      <c r="Q1031" s="154"/>
      <c r="R1031" s="154"/>
      <c r="S1031" s="166"/>
      <c r="T1031" s="166"/>
      <c r="U1031" s="166"/>
      <c r="V1031" s="166"/>
      <c r="W1031" s="166"/>
      <c r="X1031" s="166"/>
      <c r="Y1031" s="150"/>
      <c r="Z1031" s="152"/>
      <c r="AA1031" s="143"/>
      <c r="AB1031" s="153"/>
      <c r="AC1031" s="183"/>
      <c r="AD1031" s="183"/>
      <c r="AE1031" s="154"/>
      <c r="AF1031" s="154"/>
      <c r="AG1031" s="154"/>
      <c r="AH1031" s="154"/>
      <c r="AI1031" s="154"/>
      <c r="AJ1031" s="154"/>
      <c r="AK1031" s="154"/>
      <c r="AL1031" s="154"/>
      <c r="AM1031" s="154"/>
      <c r="AN1031" s="154"/>
      <c r="AO1031" s="154"/>
      <c r="AP1031" s="183"/>
      <c r="AQ1031" s="154"/>
      <c r="AR1031" s="154"/>
      <c r="AS1031" s="154"/>
    </row>
    <row r="1032" customFormat="false" ht="15" hidden="false" customHeight="false" outlineLevel="0" collapsed="false">
      <c r="A1032" s="29"/>
      <c r="B1032" s="180"/>
      <c r="C1032" s="181"/>
      <c r="D1032" s="149"/>
      <c r="E1032" s="149"/>
      <c r="F1032" s="149"/>
      <c r="G1032" s="149"/>
      <c r="H1032" s="166"/>
      <c r="I1032" s="166"/>
      <c r="J1032" s="166"/>
      <c r="K1032" s="166"/>
      <c r="L1032" s="166"/>
      <c r="M1032" s="166"/>
      <c r="N1032" s="166"/>
      <c r="O1032" s="166"/>
      <c r="P1032" s="154"/>
      <c r="Q1032" s="154"/>
      <c r="R1032" s="154"/>
      <c r="S1032" s="166"/>
      <c r="T1032" s="166"/>
      <c r="U1032" s="166"/>
      <c r="V1032" s="166"/>
      <c r="W1032" s="166"/>
      <c r="X1032" s="166"/>
      <c r="Y1032" s="150"/>
      <c r="Z1032" s="152"/>
      <c r="AA1032" s="143"/>
      <c r="AB1032" s="153"/>
      <c r="AC1032" s="183"/>
      <c r="AD1032" s="183"/>
      <c r="AE1032" s="154"/>
      <c r="AF1032" s="154"/>
      <c r="AG1032" s="154"/>
      <c r="AH1032" s="154"/>
      <c r="AI1032" s="154"/>
      <c r="AJ1032" s="154"/>
      <c r="AK1032" s="154"/>
      <c r="AL1032" s="154"/>
      <c r="AM1032" s="154"/>
      <c r="AN1032" s="154"/>
      <c r="AO1032" s="154"/>
      <c r="AP1032" s="183"/>
      <c r="AQ1032" s="154"/>
      <c r="AR1032" s="154"/>
      <c r="AS1032" s="154"/>
    </row>
    <row r="1033" customFormat="false" ht="15" hidden="false" customHeight="false" outlineLevel="0" collapsed="false">
      <c r="A1033" s="29"/>
      <c r="B1033" s="180"/>
      <c r="C1033" s="184"/>
      <c r="D1033" s="149"/>
      <c r="E1033" s="149"/>
      <c r="F1033" s="149"/>
      <c r="G1033" s="149"/>
      <c r="H1033" s="166"/>
      <c r="I1033" s="166"/>
      <c r="J1033" s="166"/>
      <c r="K1033" s="166"/>
      <c r="L1033" s="166"/>
      <c r="M1033" s="166"/>
      <c r="N1033" s="166"/>
      <c r="O1033" s="166"/>
      <c r="P1033" s="154"/>
      <c r="Q1033" s="154"/>
      <c r="R1033" s="154"/>
      <c r="S1033" s="166"/>
      <c r="T1033" s="166"/>
      <c r="U1033" s="166"/>
      <c r="V1033" s="166"/>
      <c r="W1033" s="166"/>
      <c r="X1033" s="166"/>
      <c r="Y1033" s="150"/>
      <c r="Z1033" s="152"/>
      <c r="AA1033" s="143"/>
      <c r="AB1033" s="153"/>
      <c r="AC1033" s="183"/>
      <c r="AD1033" s="183"/>
      <c r="AE1033" s="154"/>
      <c r="AF1033" s="154"/>
      <c r="AG1033" s="154"/>
      <c r="AH1033" s="154"/>
      <c r="AI1033" s="154"/>
      <c r="AJ1033" s="154"/>
      <c r="AK1033" s="154"/>
      <c r="AL1033" s="154"/>
      <c r="AM1033" s="154"/>
      <c r="AN1033" s="154"/>
      <c r="AO1033" s="154"/>
      <c r="AP1033" s="183"/>
      <c r="AQ1033" s="154"/>
      <c r="AR1033" s="154"/>
      <c r="AS1033" s="154"/>
    </row>
    <row r="1034" customFormat="false" ht="15" hidden="false" customHeight="false" outlineLevel="0" collapsed="false">
      <c r="A1034" s="29"/>
      <c r="B1034" s="180"/>
      <c r="C1034" s="185"/>
      <c r="D1034" s="149"/>
      <c r="E1034" s="149"/>
      <c r="F1034" s="149"/>
      <c r="G1034" s="149"/>
      <c r="H1034" s="166"/>
      <c r="I1034" s="166"/>
      <c r="J1034" s="166"/>
      <c r="K1034" s="166"/>
      <c r="L1034" s="166"/>
      <c r="M1034" s="166"/>
      <c r="N1034" s="166"/>
      <c r="O1034" s="166"/>
      <c r="P1034" s="154"/>
      <c r="Q1034" s="154"/>
      <c r="R1034" s="154"/>
      <c r="S1034" s="166"/>
      <c r="T1034" s="166"/>
      <c r="U1034" s="166"/>
      <c r="V1034" s="166"/>
      <c r="W1034" s="166"/>
      <c r="X1034" s="166"/>
      <c r="Y1034" s="150"/>
      <c r="Z1034" s="152"/>
      <c r="AA1034" s="143"/>
      <c r="AB1034" s="153"/>
      <c r="AC1034" s="183"/>
      <c r="AD1034" s="183"/>
      <c r="AE1034" s="154"/>
      <c r="AF1034" s="154"/>
      <c r="AG1034" s="154"/>
      <c r="AH1034" s="154"/>
      <c r="AI1034" s="154"/>
      <c r="AJ1034" s="154"/>
      <c r="AK1034" s="154"/>
      <c r="AL1034" s="154"/>
      <c r="AM1034" s="154"/>
      <c r="AN1034" s="154"/>
      <c r="AO1034" s="154"/>
      <c r="AP1034" s="183"/>
      <c r="AQ1034" s="154"/>
      <c r="AR1034" s="154"/>
      <c r="AS1034" s="154"/>
    </row>
    <row r="1035" customFormat="false" ht="15" hidden="false" customHeight="false" outlineLevel="0" collapsed="false">
      <c r="A1035" s="29"/>
      <c r="B1035" s="180"/>
      <c r="C1035" s="181"/>
      <c r="D1035" s="149"/>
      <c r="E1035" s="149"/>
      <c r="F1035" s="149"/>
      <c r="G1035" s="149"/>
      <c r="H1035" s="166"/>
      <c r="I1035" s="166"/>
      <c r="J1035" s="166"/>
      <c r="K1035" s="166"/>
      <c r="L1035" s="166"/>
      <c r="M1035" s="166"/>
      <c r="N1035" s="166"/>
      <c r="O1035" s="166"/>
      <c r="P1035" s="154"/>
      <c r="Q1035" s="154"/>
      <c r="R1035" s="154"/>
      <c r="S1035" s="166"/>
      <c r="T1035" s="166"/>
      <c r="U1035" s="166"/>
      <c r="V1035" s="166"/>
      <c r="W1035" s="166"/>
      <c r="X1035" s="166"/>
      <c r="Y1035" s="150"/>
      <c r="Z1035" s="152"/>
      <c r="AA1035" s="143"/>
      <c r="AB1035" s="153"/>
      <c r="AC1035" s="183"/>
      <c r="AD1035" s="183"/>
      <c r="AE1035" s="154"/>
      <c r="AF1035" s="154"/>
      <c r="AG1035" s="154"/>
      <c r="AH1035" s="154"/>
      <c r="AI1035" s="154"/>
      <c r="AJ1035" s="154"/>
      <c r="AK1035" s="154"/>
      <c r="AL1035" s="154"/>
      <c r="AM1035" s="154"/>
      <c r="AN1035" s="154"/>
      <c r="AO1035" s="154"/>
      <c r="AP1035" s="183"/>
      <c r="AQ1035" s="154"/>
      <c r="AR1035" s="154"/>
      <c r="AS1035" s="154"/>
    </row>
    <row r="1036" customFormat="false" ht="15" hidden="false" customHeight="false" outlineLevel="0" collapsed="false">
      <c r="A1036" s="29"/>
      <c r="B1036" s="180"/>
      <c r="C1036" s="184"/>
      <c r="D1036" s="149"/>
      <c r="E1036" s="149"/>
      <c r="F1036" s="149"/>
      <c r="G1036" s="149"/>
      <c r="H1036" s="166"/>
      <c r="I1036" s="166"/>
      <c r="J1036" s="166"/>
      <c r="K1036" s="166"/>
      <c r="L1036" s="166"/>
      <c r="M1036" s="166"/>
      <c r="N1036" s="166"/>
      <c r="O1036" s="166"/>
      <c r="P1036" s="154"/>
      <c r="Q1036" s="154"/>
      <c r="R1036" s="154"/>
      <c r="S1036" s="166"/>
      <c r="T1036" s="166"/>
      <c r="U1036" s="166"/>
      <c r="V1036" s="166"/>
      <c r="W1036" s="166"/>
      <c r="X1036" s="166"/>
      <c r="Y1036" s="150"/>
      <c r="Z1036" s="152"/>
      <c r="AA1036" s="143"/>
      <c r="AB1036" s="154"/>
      <c r="AC1036" s="183"/>
      <c r="AD1036" s="183"/>
      <c r="AE1036" s="154"/>
      <c r="AF1036" s="154"/>
      <c r="AG1036" s="154"/>
      <c r="AH1036" s="154"/>
      <c r="AI1036" s="154"/>
      <c r="AJ1036" s="154"/>
      <c r="AK1036" s="154"/>
      <c r="AL1036" s="154"/>
      <c r="AM1036" s="154"/>
      <c r="AN1036" s="154"/>
      <c r="AO1036" s="154"/>
      <c r="AP1036" s="183"/>
      <c r="AQ1036" s="154"/>
      <c r="AR1036" s="154"/>
      <c r="AS1036" s="154"/>
    </row>
    <row r="1037" customFormat="false" ht="15" hidden="false" customHeight="false" outlineLevel="0" collapsed="false">
      <c r="A1037" s="29"/>
      <c r="B1037" s="180"/>
      <c r="C1037" s="185"/>
      <c r="D1037" s="149"/>
      <c r="E1037" s="149"/>
      <c r="F1037" s="149"/>
      <c r="G1037" s="149"/>
      <c r="H1037" s="166"/>
      <c r="I1037" s="166"/>
      <c r="J1037" s="166"/>
      <c r="K1037" s="166"/>
      <c r="L1037" s="166"/>
      <c r="M1037" s="166"/>
      <c r="N1037" s="166"/>
      <c r="O1037" s="166"/>
      <c r="P1037" s="154"/>
      <c r="Q1037" s="154"/>
      <c r="R1037" s="154"/>
      <c r="S1037" s="166"/>
      <c r="T1037" s="166"/>
      <c r="U1037" s="166"/>
      <c r="V1037" s="166"/>
      <c r="W1037" s="166"/>
      <c r="X1037" s="166"/>
      <c r="Y1037" s="150"/>
      <c r="Z1037" s="152"/>
      <c r="AA1037" s="143"/>
      <c r="AB1037" s="154"/>
      <c r="AC1037" s="183"/>
      <c r="AD1037" s="183"/>
      <c r="AE1037" s="154"/>
      <c r="AF1037" s="154"/>
      <c r="AG1037" s="154"/>
      <c r="AH1037" s="154"/>
      <c r="AI1037" s="154"/>
      <c r="AJ1037" s="154"/>
      <c r="AK1037" s="154"/>
      <c r="AL1037" s="154"/>
      <c r="AM1037" s="154"/>
      <c r="AN1037" s="154"/>
      <c r="AO1037" s="154"/>
      <c r="AP1037" s="183"/>
      <c r="AQ1037" s="154"/>
      <c r="AR1037" s="154"/>
      <c r="AS1037" s="154"/>
    </row>
    <row r="1038" customFormat="false" ht="15" hidden="false" customHeight="false" outlineLevel="0" collapsed="false">
      <c r="A1038" s="29"/>
      <c r="B1038" s="180"/>
      <c r="C1038" s="181"/>
      <c r="D1038" s="149"/>
      <c r="E1038" s="149"/>
      <c r="F1038" s="149"/>
      <c r="G1038" s="149"/>
      <c r="H1038" s="166"/>
      <c r="I1038" s="166"/>
      <c r="J1038" s="166"/>
      <c r="K1038" s="166"/>
      <c r="L1038" s="166"/>
      <c r="M1038" s="166"/>
      <c r="N1038" s="166"/>
      <c r="O1038" s="166"/>
      <c r="P1038" s="154"/>
      <c r="Q1038" s="154"/>
      <c r="R1038" s="154"/>
      <c r="S1038" s="166"/>
      <c r="T1038" s="166"/>
      <c r="U1038" s="166"/>
      <c r="V1038" s="166"/>
      <c r="W1038" s="166"/>
      <c r="X1038" s="166"/>
      <c r="Y1038" s="150"/>
      <c r="Z1038" s="152"/>
      <c r="AA1038" s="143"/>
      <c r="AB1038" s="153"/>
      <c r="AC1038" s="183"/>
      <c r="AD1038" s="183"/>
      <c r="AE1038" s="154"/>
      <c r="AF1038" s="154"/>
      <c r="AG1038" s="154"/>
      <c r="AH1038" s="154"/>
      <c r="AI1038" s="154"/>
      <c r="AJ1038" s="154"/>
      <c r="AK1038" s="154"/>
      <c r="AL1038" s="154"/>
      <c r="AM1038" s="154"/>
      <c r="AN1038" s="154"/>
      <c r="AO1038" s="154"/>
      <c r="AP1038" s="183"/>
      <c r="AQ1038" s="154"/>
      <c r="AR1038" s="154"/>
      <c r="AS1038" s="154"/>
    </row>
    <row r="1039" customFormat="false" ht="15" hidden="false" customHeight="false" outlineLevel="0" collapsed="false">
      <c r="A1039" s="29"/>
      <c r="B1039" s="180"/>
      <c r="C1039" s="184"/>
      <c r="D1039" s="149"/>
      <c r="E1039" s="149"/>
      <c r="F1039" s="149"/>
      <c r="G1039" s="149"/>
      <c r="H1039" s="166"/>
      <c r="I1039" s="166"/>
      <c r="J1039" s="166"/>
      <c r="K1039" s="166"/>
      <c r="L1039" s="166"/>
      <c r="M1039" s="166"/>
      <c r="N1039" s="166"/>
      <c r="O1039" s="166"/>
      <c r="P1039" s="154"/>
      <c r="Q1039" s="154"/>
      <c r="R1039" s="154"/>
      <c r="S1039" s="166"/>
      <c r="T1039" s="166"/>
      <c r="U1039" s="166"/>
      <c r="V1039" s="166"/>
      <c r="W1039" s="166"/>
      <c r="X1039" s="166"/>
      <c r="Y1039" s="150"/>
      <c r="Z1039" s="152"/>
      <c r="AA1039" s="143"/>
      <c r="AB1039" s="154"/>
      <c r="AC1039" s="183"/>
      <c r="AD1039" s="183"/>
      <c r="AE1039" s="154"/>
      <c r="AF1039" s="154"/>
      <c r="AG1039" s="154"/>
      <c r="AH1039" s="154"/>
      <c r="AI1039" s="154"/>
      <c r="AJ1039" s="154"/>
      <c r="AK1039" s="154"/>
      <c r="AL1039" s="154"/>
      <c r="AM1039" s="154"/>
      <c r="AN1039" s="154"/>
      <c r="AO1039" s="154"/>
      <c r="AP1039" s="183"/>
      <c r="AQ1039" s="154"/>
      <c r="AR1039" s="154"/>
      <c r="AS1039" s="154"/>
    </row>
    <row r="1040" customFormat="false" ht="15" hidden="false" customHeight="false" outlineLevel="0" collapsed="false">
      <c r="A1040" s="29"/>
      <c r="B1040" s="180"/>
      <c r="C1040" s="185"/>
      <c r="D1040" s="149"/>
      <c r="E1040" s="149"/>
      <c r="F1040" s="149"/>
      <c r="G1040" s="149"/>
      <c r="H1040" s="166"/>
      <c r="I1040" s="166"/>
      <c r="J1040" s="166"/>
      <c r="K1040" s="166"/>
      <c r="L1040" s="166"/>
      <c r="M1040" s="166"/>
      <c r="N1040" s="166"/>
      <c r="O1040" s="166"/>
      <c r="P1040" s="154"/>
      <c r="Q1040" s="154"/>
      <c r="R1040" s="154"/>
      <c r="S1040" s="166"/>
      <c r="T1040" s="166"/>
      <c r="U1040" s="166"/>
      <c r="V1040" s="166"/>
      <c r="W1040" s="166"/>
      <c r="X1040" s="166"/>
      <c r="Y1040" s="150"/>
      <c r="Z1040" s="152"/>
      <c r="AA1040" s="143"/>
      <c r="AB1040" s="154"/>
      <c r="AC1040" s="183"/>
      <c r="AD1040" s="183"/>
      <c r="AE1040" s="154"/>
      <c r="AF1040" s="154"/>
      <c r="AG1040" s="154"/>
      <c r="AH1040" s="154"/>
      <c r="AI1040" s="154"/>
      <c r="AJ1040" s="154"/>
      <c r="AK1040" s="154"/>
      <c r="AL1040" s="154"/>
      <c r="AM1040" s="154"/>
      <c r="AN1040" s="154"/>
      <c r="AO1040" s="154"/>
      <c r="AP1040" s="183"/>
      <c r="AQ1040" s="154"/>
      <c r="AR1040" s="154"/>
      <c r="AS1040" s="154"/>
    </row>
    <row r="1041" customFormat="false" ht="15" hidden="false" customHeight="false" outlineLevel="0" collapsed="false">
      <c r="A1041" s="29"/>
      <c r="B1041" s="180"/>
      <c r="C1041" s="181"/>
      <c r="D1041" s="149"/>
      <c r="E1041" s="149"/>
      <c r="F1041" s="149"/>
      <c r="G1041" s="149"/>
      <c r="H1041" s="166"/>
      <c r="I1041" s="166"/>
      <c r="J1041" s="166"/>
      <c r="K1041" s="166"/>
      <c r="L1041" s="166"/>
      <c r="M1041" s="166"/>
      <c r="N1041" s="166"/>
      <c r="O1041" s="166"/>
      <c r="P1041" s="154"/>
      <c r="Q1041" s="154"/>
      <c r="R1041" s="154"/>
      <c r="S1041" s="166"/>
      <c r="T1041" s="166"/>
      <c r="U1041" s="166"/>
      <c r="V1041" s="166"/>
      <c r="W1041" s="166"/>
      <c r="X1041" s="166"/>
      <c r="Y1041" s="150"/>
      <c r="Z1041" s="152"/>
      <c r="AA1041" s="143"/>
      <c r="AB1041" s="153"/>
      <c r="AC1041" s="183"/>
      <c r="AD1041" s="183"/>
      <c r="AE1041" s="154"/>
      <c r="AF1041" s="154"/>
      <c r="AG1041" s="154"/>
      <c r="AH1041" s="154"/>
      <c r="AI1041" s="154"/>
      <c r="AJ1041" s="154"/>
      <c r="AK1041" s="154"/>
      <c r="AL1041" s="154"/>
      <c r="AM1041" s="154"/>
      <c r="AN1041" s="154"/>
      <c r="AO1041" s="154"/>
      <c r="AP1041" s="183"/>
      <c r="AQ1041" s="154"/>
      <c r="AR1041" s="154"/>
      <c r="AS1041" s="154"/>
    </row>
    <row r="1042" customFormat="false" ht="15" hidden="false" customHeight="false" outlineLevel="0" collapsed="false">
      <c r="A1042" s="29"/>
      <c r="B1042" s="180"/>
      <c r="C1042" s="184"/>
      <c r="D1042" s="149"/>
      <c r="E1042" s="149"/>
      <c r="F1042" s="149"/>
      <c r="G1042" s="149"/>
      <c r="H1042" s="166"/>
      <c r="I1042" s="166"/>
      <c r="J1042" s="166"/>
      <c r="K1042" s="166"/>
      <c r="L1042" s="166"/>
      <c r="M1042" s="166"/>
      <c r="N1042" s="166"/>
      <c r="O1042" s="166"/>
      <c r="P1042" s="154"/>
      <c r="Q1042" s="154"/>
      <c r="R1042" s="154"/>
      <c r="S1042" s="166"/>
      <c r="T1042" s="166"/>
      <c r="U1042" s="166"/>
      <c r="V1042" s="166"/>
      <c r="W1042" s="166"/>
      <c r="X1042" s="166"/>
      <c r="Y1042" s="150"/>
      <c r="Z1042" s="152"/>
      <c r="AA1042" s="143"/>
      <c r="AB1042" s="154"/>
      <c r="AC1042" s="183"/>
      <c r="AD1042" s="183"/>
      <c r="AE1042" s="154"/>
      <c r="AF1042" s="154"/>
      <c r="AG1042" s="154"/>
      <c r="AH1042" s="154"/>
      <c r="AI1042" s="154"/>
      <c r="AJ1042" s="154"/>
      <c r="AK1042" s="154"/>
      <c r="AL1042" s="154"/>
      <c r="AM1042" s="154"/>
      <c r="AN1042" s="154"/>
      <c r="AO1042" s="154"/>
      <c r="AP1042" s="183"/>
      <c r="AQ1042" s="154"/>
      <c r="AR1042" s="154"/>
      <c r="AS1042" s="154"/>
    </row>
    <row r="1043" customFormat="false" ht="15" hidden="false" customHeight="false" outlineLevel="0" collapsed="false">
      <c r="A1043" s="29"/>
      <c r="B1043" s="180"/>
      <c r="C1043" s="185"/>
      <c r="D1043" s="149"/>
      <c r="E1043" s="149"/>
      <c r="F1043" s="149"/>
      <c r="G1043" s="149"/>
      <c r="H1043" s="166"/>
      <c r="I1043" s="166"/>
      <c r="J1043" s="166"/>
      <c r="K1043" s="166"/>
      <c r="L1043" s="166"/>
      <c r="M1043" s="166"/>
      <c r="N1043" s="166"/>
      <c r="O1043" s="166"/>
      <c r="P1043" s="154"/>
      <c r="Q1043" s="154"/>
      <c r="R1043" s="154"/>
      <c r="S1043" s="166"/>
      <c r="T1043" s="166"/>
      <c r="U1043" s="166"/>
      <c r="V1043" s="166"/>
      <c r="W1043" s="166"/>
      <c r="X1043" s="166"/>
      <c r="Y1043" s="150"/>
      <c r="Z1043" s="152"/>
      <c r="AA1043" s="143"/>
      <c r="AB1043" s="154"/>
      <c r="AC1043" s="183"/>
      <c r="AD1043" s="183"/>
      <c r="AE1043" s="154"/>
      <c r="AF1043" s="154"/>
      <c r="AG1043" s="154"/>
      <c r="AH1043" s="154"/>
      <c r="AI1043" s="154"/>
      <c r="AJ1043" s="154"/>
      <c r="AK1043" s="154"/>
      <c r="AL1043" s="154"/>
      <c r="AM1043" s="154"/>
      <c r="AN1043" s="154"/>
      <c r="AO1043" s="154"/>
      <c r="AP1043" s="183"/>
      <c r="AQ1043" s="154"/>
      <c r="AR1043" s="154"/>
      <c r="AS1043" s="154"/>
    </row>
    <row r="1044" customFormat="false" ht="15" hidden="false" customHeight="false" outlineLevel="0" collapsed="false">
      <c r="A1044" s="29"/>
      <c r="B1044" s="180"/>
      <c r="C1044" s="181"/>
      <c r="D1044" s="149"/>
      <c r="E1044" s="149"/>
      <c r="F1044" s="149"/>
      <c r="G1044" s="149"/>
      <c r="H1044" s="166"/>
      <c r="I1044" s="166"/>
      <c r="J1044" s="166"/>
      <c r="K1044" s="166"/>
      <c r="L1044" s="166"/>
      <c r="M1044" s="166"/>
      <c r="N1044" s="166"/>
      <c r="O1044" s="166"/>
      <c r="P1044" s="166"/>
      <c r="Q1044" s="166"/>
      <c r="R1044" s="166"/>
      <c r="S1044" s="166"/>
      <c r="T1044" s="166"/>
      <c r="U1044" s="166"/>
      <c r="V1044" s="166"/>
      <c r="W1044" s="166"/>
      <c r="X1044" s="166"/>
      <c r="Y1044" s="150"/>
      <c r="Z1044" s="152"/>
      <c r="AA1044" s="143"/>
      <c r="AB1044" s="153"/>
      <c r="AC1044" s="183"/>
      <c r="AD1044" s="183"/>
      <c r="AE1044" s="154"/>
      <c r="AF1044" s="154"/>
      <c r="AG1044" s="154"/>
      <c r="AH1044" s="154"/>
      <c r="AI1044" s="154"/>
      <c r="AJ1044" s="154"/>
      <c r="AK1044" s="154"/>
      <c r="AL1044" s="154"/>
      <c r="AM1044" s="154"/>
      <c r="AN1044" s="154"/>
      <c r="AO1044" s="154"/>
      <c r="AP1044" s="183"/>
      <c r="AQ1044" s="154"/>
      <c r="AR1044" s="154"/>
      <c r="AS1044" s="154"/>
    </row>
    <row r="1045" customFormat="false" ht="15" hidden="false" customHeight="false" outlineLevel="0" collapsed="false">
      <c r="A1045" s="29"/>
      <c r="B1045" s="180"/>
      <c r="C1045" s="184"/>
      <c r="D1045" s="149"/>
      <c r="E1045" s="149"/>
      <c r="F1045" s="149"/>
      <c r="G1045" s="149"/>
      <c r="H1045" s="166"/>
      <c r="I1045" s="166"/>
      <c r="J1045" s="166"/>
      <c r="K1045" s="166"/>
      <c r="L1045" s="166"/>
      <c r="M1045" s="166"/>
      <c r="N1045" s="166"/>
      <c r="O1045" s="166"/>
      <c r="P1045" s="166"/>
      <c r="Q1045" s="166"/>
      <c r="R1045" s="166"/>
      <c r="S1045" s="166"/>
      <c r="T1045" s="166"/>
      <c r="U1045" s="166"/>
      <c r="V1045" s="166"/>
      <c r="W1045" s="166"/>
      <c r="X1045" s="166"/>
      <c r="Y1045" s="150"/>
      <c r="Z1045" s="152"/>
      <c r="AA1045" s="143"/>
      <c r="AB1045" s="154"/>
      <c r="AC1045" s="183"/>
      <c r="AD1045" s="183"/>
      <c r="AE1045" s="154"/>
      <c r="AF1045" s="154"/>
      <c r="AG1045" s="154"/>
      <c r="AH1045" s="154"/>
      <c r="AI1045" s="154"/>
      <c r="AJ1045" s="154"/>
      <c r="AK1045" s="154"/>
      <c r="AL1045" s="154"/>
      <c r="AM1045" s="154"/>
      <c r="AN1045" s="154"/>
      <c r="AO1045" s="154"/>
      <c r="AP1045" s="183"/>
      <c r="AQ1045" s="154"/>
      <c r="AR1045" s="154"/>
      <c r="AS1045" s="154"/>
    </row>
    <row r="1046" customFormat="false" ht="15" hidden="false" customHeight="false" outlineLevel="0" collapsed="false">
      <c r="A1046" s="29"/>
      <c r="B1046" s="180"/>
      <c r="C1046" s="185"/>
      <c r="D1046" s="149"/>
      <c r="E1046" s="149"/>
      <c r="F1046" s="149"/>
      <c r="G1046" s="149"/>
      <c r="H1046" s="166"/>
      <c r="I1046" s="166"/>
      <c r="J1046" s="166"/>
      <c r="K1046" s="166"/>
      <c r="L1046" s="166"/>
      <c r="M1046" s="166"/>
      <c r="N1046" s="166"/>
      <c r="O1046" s="166"/>
      <c r="P1046" s="166"/>
      <c r="Q1046" s="166"/>
      <c r="R1046" s="166"/>
      <c r="S1046" s="166"/>
      <c r="T1046" s="166"/>
      <c r="U1046" s="166"/>
      <c r="V1046" s="166"/>
      <c r="W1046" s="166"/>
      <c r="X1046" s="166"/>
      <c r="Y1046" s="150"/>
      <c r="Z1046" s="152"/>
      <c r="AA1046" s="143"/>
      <c r="AB1046" s="154"/>
      <c r="AC1046" s="183"/>
      <c r="AD1046" s="183"/>
      <c r="AE1046" s="154"/>
      <c r="AF1046" s="154"/>
      <c r="AG1046" s="154"/>
      <c r="AH1046" s="154"/>
      <c r="AI1046" s="154"/>
      <c r="AJ1046" s="154"/>
      <c r="AK1046" s="154"/>
      <c r="AL1046" s="154"/>
      <c r="AM1046" s="154"/>
      <c r="AN1046" s="154"/>
      <c r="AO1046" s="154"/>
      <c r="AP1046" s="183"/>
      <c r="AQ1046" s="154"/>
      <c r="AR1046" s="154"/>
      <c r="AS1046" s="154"/>
    </row>
    <row r="1048" customFormat="false" ht="14.25" hidden="false" customHeight="false" outlineLevel="0" collapsed="false">
      <c r="B1048" s="157"/>
      <c r="C1048" s="158"/>
      <c r="D1048" s="53"/>
      <c r="E1048" s="53"/>
      <c r="F1048" s="53"/>
      <c r="G1048" s="53"/>
      <c r="H1048" s="54"/>
      <c r="I1048" s="55"/>
      <c r="J1048" s="54"/>
      <c r="K1048" s="55"/>
      <c r="L1048" s="54"/>
      <c r="M1048" s="54"/>
      <c r="N1048" s="54"/>
      <c r="O1048" s="54"/>
      <c r="P1048" s="54"/>
      <c r="Q1048" s="57"/>
      <c r="R1048" s="54"/>
      <c r="S1048" s="54"/>
      <c r="T1048" s="54"/>
      <c r="U1048" s="54"/>
      <c r="V1048" s="54"/>
      <c r="W1048" s="54"/>
      <c r="X1048" s="54"/>
      <c r="Y1048" s="54"/>
      <c r="Z1048" s="157"/>
      <c r="AA1048" s="53"/>
      <c r="AE1048" s="157"/>
      <c r="AI1048" s="157"/>
      <c r="AJ1048" s="157"/>
      <c r="AK1048" s="157"/>
      <c r="AL1048" s="157"/>
      <c r="AM1048" s="104"/>
      <c r="AN1048" s="104"/>
      <c r="AO1048" s="104"/>
    </row>
  </sheetData>
  <mergeCells count="413">
    <mergeCell ref="A1:AS2"/>
    <mergeCell ref="A3:AS3"/>
    <mergeCell ref="A4:C6"/>
    <mergeCell ref="D4:I4"/>
    <mergeCell ref="J4:AD4"/>
    <mergeCell ref="AE4:AJ4"/>
    <mergeCell ref="AK4:AM4"/>
    <mergeCell ref="AN4:AS6"/>
    <mergeCell ref="D5:I5"/>
    <mergeCell ref="J5:AD5"/>
    <mergeCell ref="AE5:AJ5"/>
    <mergeCell ref="AK5:AM5"/>
    <mergeCell ref="D6:I6"/>
    <mergeCell ref="J6:AD6"/>
    <mergeCell ref="AE6:AJ6"/>
    <mergeCell ref="AK6:AM6"/>
    <mergeCell ref="A7:A9"/>
    <mergeCell ref="B7:B9"/>
    <mergeCell ref="C7:C9"/>
    <mergeCell ref="D7:Z7"/>
    <mergeCell ref="AA7:AA9"/>
    <mergeCell ref="AB7:AB9"/>
    <mergeCell ref="AC7:AP7"/>
    <mergeCell ref="AQ7:AQ9"/>
    <mergeCell ref="AR7:AR9"/>
    <mergeCell ref="AS7:AS9"/>
    <mergeCell ref="D8:Z8"/>
    <mergeCell ref="AC8:AI8"/>
    <mergeCell ref="AJ8:AP8"/>
    <mergeCell ref="I14:U14"/>
    <mergeCell ref="AE14:AL14"/>
    <mergeCell ref="A40:AS41"/>
    <mergeCell ref="A42:AS42"/>
    <mergeCell ref="A43:B45"/>
    <mergeCell ref="AP43:AS45"/>
    <mergeCell ref="A46:A49"/>
    <mergeCell ref="B46:B49"/>
    <mergeCell ref="D46:Z46"/>
    <mergeCell ref="AA46:AA49"/>
    <mergeCell ref="AB46:AB49"/>
    <mergeCell ref="AC46:AP46"/>
    <mergeCell ref="AQ46:AQ49"/>
    <mergeCell ref="AR46:AR49"/>
    <mergeCell ref="AS46:AS49"/>
    <mergeCell ref="AC47:AI47"/>
    <mergeCell ref="AJ47:AP47"/>
    <mergeCell ref="AC48:AC49"/>
    <mergeCell ref="AD48:AD49"/>
    <mergeCell ref="AE48:AE49"/>
    <mergeCell ref="AF48:AF49"/>
    <mergeCell ref="AI48:AI49"/>
    <mergeCell ref="AJ48:AJ49"/>
    <mergeCell ref="AK48:AK49"/>
    <mergeCell ref="AL48:AL49"/>
    <mergeCell ref="AM48:AM49"/>
    <mergeCell ref="AP48:AP49"/>
    <mergeCell ref="A50:A52"/>
    <mergeCell ref="B50:B52"/>
    <mergeCell ref="AB50:AB52"/>
    <mergeCell ref="A53:A55"/>
    <mergeCell ref="B53:B55"/>
    <mergeCell ref="AB53:AB55"/>
    <mergeCell ref="A56:A58"/>
    <mergeCell ref="B56:B58"/>
    <mergeCell ref="AB56:AB58"/>
    <mergeCell ref="A59:A61"/>
    <mergeCell ref="B59:B61"/>
    <mergeCell ref="AB59:AB61"/>
    <mergeCell ref="A62:A64"/>
    <mergeCell ref="B62:B64"/>
    <mergeCell ref="AB62:AB64"/>
    <mergeCell ref="A65:A67"/>
    <mergeCell ref="B65:B67"/>
    <mergeCell ref="AB65:AB67"/>
    <mergeCell ref="A68:A70"/>
    <mergeCell ref="B68:B70"/>
    <mergeCell ref="AB68:AB70"/>
    <mergeCell ref="A71:A73"/>
    <mergeCell ref="B71:B73"/>
    <mergeCell ref="A74:A76"/>
    <mergeCell ref="B74:B76"/>
    <mergeCell ref="A77:A79"/>
    <mergeCell ref="B77:B79"/>
    <mergeCell ref="A80:A82"/>
    <mergeCell ref="B80:B82"/>
    <mergeCell ref="A685:AS686"/>
    <mergeCell ref="A687:AS687"/>
    <mergeCell ref="A688:B690"/>
    <mergeCell ref="AP688:AS690"/>
    <mergeCell ref="A691:A694"/>
    <mergeCell ref="B691:B694"/>
    <mergeCell ref="D691:Z691"/>
    <mergeCell ref="AA691:AA694"/>
    <mergeCell ref="AB691:AB694"/>
    <mergeCell ref="AC691:AP691"/>
    <mergeCell ref="AQ691:AQ694"/>
    <mergeCell ref="AR691:AR694"/>
    <mergeCell ref="AS691:AS694"/>
    <mergeCell ref="AC692:AI692"/>
    <mergeCell ref="AJ692:AP692"/>
    <mergeCell ref="AC693:AC694"/>
    <mergeCell ref="AE693:AE694"/>
    <mergeCell ref="AF693:AF694"/>
    <mergeCell ref="AI693:AI694"/>
    <mergeCell ref="AJ693:AJ694"/>
    <mergeCell ref="AK693:AK694"/>
    <mergeCell ref="AL693:AL694"/>
    <mergeCell ref="AM693:AM694"/>
    <mergeCell ref="AP693:AP694"/>
    <mergeCell ref="A695:A697"/>
    <mergeCell ref="B695:B697"/>
    <mergeCell ref="A698:A700"/>
    <mergeCell ref="B698:B700"/>
    <mergeCell ref="A701:A703"/>
    <mergeCell ref="B701:B703"/>
    <mergeCell ref="A704:A706"/>
    <mergeCell ref="B704:B706"/>
    <mergeCell ref="A707:A709"/>
    <mergeCell ref="B707:B709"/>
    <mergeCell ref="A710:A712"/>
    <mergeCell ref="B710:B712"/>
    <mergeCell ref="A713:A715"/>
    <mergeCell ref="B713:B715"/>
    <mergeCell ref="A716:A718"/>
    <mergeCell ref="B716:B718"/>
    <mergeCell ref="A719:A721"/>
    <mergeCell ref="B719:B721"/>
    <mergeCell ref="A722:A724"/>
    <mergeCell ref="B722:B724"/>
    <mergeCell ref="A725:A727"/>
    <mergeCell ref="B725:B727"/>
    <mergeCell ref="A728:A730"/>
    <mergeCell ref="B728:B730"/>
    <mergeCell ref="A731:A733"/>
    <mergeCell ref="B731:B733"/>
    <mergeCell ref="A784:AS785"/>
    <mergeCell ref="A786:AS786"/>
    <mergeCell ref="A787:B789"/>
    <mergeCell ref="AP787:AS789"/>
    <mergeCell ref="A790:A793"/>
    <mergeCell ref="B790:B793"/>
    <mergeCell ref="D790:Z790"/>
    <mergeCell ref="AA790:AA793"/>
    <mergeCell ref="AB790:AB793"/>
    <mergeCell ref="AC790:AP790"/>
    <mergeCell ref="AQ790:AQ793"/>
    <mergeCell ref="AR790:AR793"/>
    <mergeCell ref="AS790:AS793"/>
    <mergeCell ref="AC791:AI791"/>
    <mergeCell ref="AJ791:AP791"/>
    <mergeCell ref="AC792:AC793"/>
    <mergeCell ref="AE792:AE793"/>
    <mergeCell ref="AF792:AF793"/>
    <mergeCell ref="AI792:AI793"/>
    <mergeCell ref="AJ792:AJ793"/>
    <mergeCell ref="AL792:AL793"/>
    <mergeCell ref="AM792:AM793"/>
    <mergeCell ref="AP792:AP793"/>
    <mergeCell ref="A794:A796"/>
    <mergeCell ref="B794:B796"/>
    <mergeCell ref="AB794:AB796"/>
    <mergeCell ref="A797:A799"/>
    <mergeCell ref="B797:B799"/>
    <mergeCell ref="AB797:AB799"/>
    <mergeCell ref="A800:A802"/>
    <mergeCell ref="B800:B802"/>
    <mergeCell ref="AB800:AB802"/>
    <mergeCell ref="A803:A805"/>
    <mergeCell ref="B803:B805"/>
    <mergeCell ref="AB803:AB805"/>
    <mergeCell ref="A806:A808"/>
    <mergeCell ref="B806:B808"/>
    <mergeCell ref="AB806:AB808"/>
    <mergeCell ref="A809:A811"/>
    <mergeCell ref="B809:B811"/>
    <mergeCell ref="AB809:AB811"/>
    <mergeCell ref="A812:A814"/>
    <mergeCell ref="B812:B814"/>
    <mergeCell ref="AB812:AB814"/>
    <mergeCell ref="A815:A817"/>
    <mergeCell ref="B815:B817"/>
    <mergeCell ref="AB815:AB817"/>
    <mergeCell ref="A818:A820"/>
    <mergeCell ref="B818:B820"/>
    <mergeCell ref="AB818:AB820"/>
    <mergeCell ref="A821:A823"/>
    <mergeCell ref="B821:B823"/>
    <mergeCell ref="AB821:AB823"/>
    <mergeCell ref="A824:A826"/>
    <mergeCell ref="B824:B826"/>
    <mergeCell ref="AB824:AB826"/>
    <mergeCell ref="A827:A829"/>
    <mergeCell ref="B827:B829"/>
    <mergeCell ref="AB827:AB829"/>
    <mergeCell ref="A832:AS833"/>
    <mergeCell ref="A834:AS834"/>
    <mergeCell ref="A835:B837"/>
    <mergeCell ref="AP835:AS837"/>
    <mergeCell ref="A838:A841"/>
    <mergeCell ref="B838:B841"/>
    <mergeCell ref="D838:Z838"/>
    <mergeCell ref="AA838:AA841"/>
    <mergeCell ref="AB838:AB841"/>
    <mergeCell ref="AC838:AP838"/>
    <mergeCell ref="AQ838:AQ841"/>
    <mergeCell ref="AR838:AR841"/>
    <mergeCell ref="AS838:AS841"/>
    <mergeCell ref="AC839:AI839"/>
    <mergeCell ref="AJ839:AP839"/>
    <mergeCell ref="AC840:AC841"/>
    <mergeCell ref="AE840:AE841"/>
    <mergeCell ref="AF840:AF841"/>
    <mergeCell ref="AI840:AI841"/>
    <mergeCell ref="AJ840:AJ841"/>
    <mergeCell ref="AL840:AL841"/>
    <mergeCell ref="AM840:AM841"/>
    <mergeCell ref="AP840:AP841"/>
    <mergeCell ref="A842:A844"/>
    <mergeCell ref="B842:B844"/>
    <mergeCell ref="A845:A847"/>
    <mergeCell ref="B845:B847"/>
    <mergeCell ref="A848:A850"/>
    <mergeCell ref="B848:B850"/>
    <mergeCell ref="A851:A853"/>
    <mergeCell ref="B851:B853"/>
    <mergeCell ref="A854:A856"/>
    <mergeCell ref="B854:B856"/>
    <mergeCell ref="A857:A859"/>
    <mergeCell ref="B857:B859"/>
    <mergeCell ref="A860:A862"/>
    <mergeCell ref="B860:B862"/>
    <mergeCell ref="A863:A865"/>
    <mergeCell ref="B863:B865"/>
    <mergeCell ref="A866:A868"/>
    <mergeCell ref="B866:B868"/>
    <mergeCell ref="A869:A871"/>
    <mergeCell ref="B869:B871"/>
    <mergeCell ref="A872:A874"/>
    <mergeCell ref="B872:B874"/>
    <mergeCell ref="A875:A877"/>
    <mergeCell ref="B875:B877"/>
    <mergeCell ref="A878:A880"/>
    <mergeCell ref="B878:B880"/>
    <mergeCell ref="A885:AS886"/>
    <mergeCell ref="A887:AS887"/>
    <mergeCell ref="A888:B890"/>
    <mergeCell ref="AP888:AS890"/>
    <mergeCell ref="A891:A894"/>
    <mergeCell ref="B891:B894"/>
    <mergeCell ref="D891:Z891"/>
    <mergeCell ref="AA891:AA894"/>
    <mergeCell ref="AB891:AB894"/>
    <mergeCell ref="AC891:AP891"/>
    <mergeCell ref="AQ891:AQ894"/>
    <mergeCell ref="AR891:AR894"/>
    <mergeCell ref="AS891:AS894"/>
    <mergeCell ref="AC892:AI892"/>
    <mergeCell ref="AJ892:AP892"/>
    <mergeCell ref="AC893:AC894"/>
    <mergeCell ref="AE893:AE894"/>
    <mergeCell ref="AF893:AF894"/>
    <mergeCell ref="AI893:AI894"/>
    <mergeCell ref="AJ893:AJ894"/>
    <mergeCell ref="AL893:AL894"/>
    <mergeCell ref="AM893:AM894"/>
    <mergeCell ref="AP893:AP894"/>
    <mergeCell ref="A895:A897"/>
    <mergeCell ref="B895:B897"/>
    <mergeCell ref="A898:A900"/>
    <mergeCell ref="B898:B900"/>
    <mergeCell ref="A901:A903"/>
    <mergeCell ref="B901:B903"/>
    <mergeCell ref="A904:A906"/>
    <mergeCell ref="B904:B906"/>
    <mergeCell ref="A907:A909"/>
    <mergeCell ref="B907:B909"/>
    <mergeCell ref="A910:A912"/>
    <mergeCell ref="B910:B912"/>
    <mergeCell ref="A913:A915"/>
    <mergeCell ref="B913:B915"/>
    <mergeCell ref="A916:A918"/>
    <mergeCell ref="B916:B918"/>
    <mergeCell ref="A919:A921"/>
    <mergeCell ref="B919:B921"/>
    <mergeCell ref="A922:A924"/>
    <mergeCell ref="B922:B924"/>
    <mergeCell ref="A925:A927"/>
    <mergeCell ref="B925:B927"/>
    <mergeCell ref="A928:A930"/>
    <mergeCell ref="B928:B930"/>
    <mergeCell ref="A931:A933"/>
    <mergeCell ref="B931:B933"/>
    <mergeCell ref="A950:AS951"/>
    <mergeCell ref="A952:AS952"/>
    <mergeCell ref="A953:B955"/>
    <mergeCell ref="AP953:AS955"/>
    <mergeCell ref="A956:A959"/>
    <mergeCell ref="B956:B959"/>
    <mergeCell ref="D956:Z956"/>
    <mergeCell ref="AA956:AA959"/>
    <mergeCell ref="AB956:AB959"/>
    <mergeCell ref="AC956:AP956"/>
    <mergeCell ref="AQ956:AQ959"/>
    <mergeCell ref="AR956:AR959"/>
    <mergeCell ref="AS956:AS959"/>
    <mergeCell ref="AC957:AI957"/>
    <mergeCell ref="AJ957:AP957"/>
    <mergeCell ref="AC958:AC959"/>
    <mergeCell ref="AD958:AD959"/>
    <mergeCell ref="AE958:AE959"/>
    <mergeCell ref="AF958:AF959"/>
    <mergeCell ref="AI958:AI959"/>
    <mergeCell ref="AJ958:AJ959"/>
    <mergeCell ref="AK958:AK959"/>
    <mergeCell ref="AL958:AL959"/>
    <mergeCell ref="AM958:AM959"/>
    <mergeCell ref="AP958:AP959"/>
    <mergeCell ref="A960:A962"/>
    <mergeCell ref="B960:B962"/>
    <mergeCell ref="AB960:AB962"/>
    <mergeCell ref="A963:A965"/>
    <mergeCell ref="B963:B965"/>
    <mergeCell ref="AB963:AB965"/>
    <mergeCell ref="A966:A968"/>
    <mergeCell ref="B966:B968"/>
    <mergeCell ref="AB966:AB968"/>
    <mergeCell ref="A969:A971"/>
    <mergeCell ref="B969:B971"/>
    <mergeCell ref="AB969:AB971"/>
    <mergeCell ref="A972:A974"/>
    <mergeCell ref="B972:B974"/>
    <mergeCell ref="AB972:AB974"/>
    <mergeCell ref="A975:A977"/>
    <mergeCell ref="B975:B977"/>
    <mergeCell ref="AB975:AB977"/>
    <mergeCell ref="A978:A980"/>
    <mergeCell ref="B978:B980"/>
    <mergeCell ref="AB978:AB980"/>
    <mergeCell ref="A981:A983"/>
    <mergeCell ref="B981:B983"/>
    <mergeCell ref="AB981:AB983"/>
    <mergeCell ref="A984:A986"/>
    <mergeCell ref="B984:B986"/>
    <mergeCell ref="AB984:AB986"/>
    <mergeCell ref="A987:A989"/>
    <mergeCell ref="B987:B989"/>
    <mergeCell ref="AB987:AB989"/>
    <mergeCell ref="A990:A992"/>
    <mergeCell ref="B990:B992"/>
    <mergeCell ref="AB990:AB992"/>
    <mergeCell ref="A993:A995"/>
    <mergeCell ref="B993:B995"/>
    <mergeCell ref="AB993:AB995"/>
    <mergeCell ref="A998:AS999"/>
    <mergeCell ref="A1000:AS1000"/>
    <mergeCell ref="A1001:B1003"/>
    <mergeCell ref="AP1001:AS1003"/>
    <mergeCell ref="A1004:A1007"/>
    <mergeCell ref="B1004:B1007"/>
    <mergeCell ref="D1004:Z1004"/>
    <mergeCell ref="AA1004:AA1007"/>
    <mergeCell ref="AB1004:AB1007"/>
    <mergeCell ref="AC1004:AP1004"/>
    <mergeCell ref="AQ1004:AQ1007"/>
    <mergeCell ref="AR1004:AR1007"/>
    <mergeCell ref="AS1004:AS1007"/>
    <mergeCell ref="AC1005:AI1005"/>
    <mergeCell ref="AJ1005:AP1005"/>
    <mergeCell ref="AC1006:AC1007"/>
    <mergeCell ref="AD1006:AD1007"/>
    <mergeCell ref="AE1006:AE1007"/>
    <mergeCell ref="AF1006:AF1007"/>
    <mergeCell ref="AI1006:AI1007"/>
    <mergeCell ref="AJ1006:AJ1007"/>
    <mergeCell ref="AK1006:AK1007"/>
    <mergeCell ref="AL1006:AL1007"/>
    <mergeCell ref="AM1006:AM1007"/>
    <mergeCell ref="AP1006:AP1007"/>
    <mergeCell ref="A1008:A1010"/>
    <mergeCell ref="B1008:B1010"/>
    <mergeCell ref="AB1008:AB1010"/>
    <mergeCell ref="A1011:A1013"/>
    <mergeCell ref="B1011:B1013"/>
    <mergeCell ref="AB1011:AB1013"/>
    <mergeCell ref="A1014:A1016"/>
    <mergeCell ref="B1014:B1016"/>
    <mergeCell ref="AB1014:AB1016"/>
    <mergeCell ref="A1017:A1019"/>
    <mergeCell ref="B1017:B1019"/>
    <mergeCell ref="AB1017:AB1019"/>
    <mergeCell ref="A1020:A1022"/>
    <mergeCell ref="B1020:B1022"/>
    <mergeCell ref="AB1020:AB1022"/>
    <mergeCell ref="A1023:A1025"/>
    <mergeCell ref="B1023:B1025"/>
    <mergeCell ref="AB1023:AB1025"/>
    <mergeCell ref="A1026:A1028"/>
    <mergeCell ref="B1026:B1028"/>
    <mergeCell ref="AB1026:AB1028"/>
    <mergeCell ref="A1029:A1031"/>
    <mergeCell ref="B1029:B1031"/>
    <mergeCell ref="AB1029:AB1031"/>
    <mergeCell ref="A1032:A1034"/>
    <mergeCell ref="B1032:B1034"/>
    <mergeCell ref="AB1032:AB1034"/>
    <mergeCell ref="A1035:A1037"/>
    <mergeCell ref="B1035:B1037"/>
    <mergeCell ref="A1038:A1040"/>
    <mergeCell ref="B1038:B1040"/>
    <mergeCell ref="A1041:A1043"/>
    <mergeCell ref="B1041:B1043"/>
    <mergeCell ref="A1044:A1046"/>
    <mergeCell ref="B1044:B1046"/>
  </mergeCells>
  <conditionalFormatting sqref="AJ10:AP12">
    <cfRule type="cellIs" priority="2" operator="greaterThan" aboveAverage="0" equalAverage="0" bottom="0" percent="0" rank="0" text="" dxfId="0">
      <formula>70</formula>
    </cfRule>
  </conditionalFormatting>
  <conditionalFormatting sqref="AC10:AI12">
    <cfRule type="cellIs" priority="3" operator="greaterThan" aboveAverage="0" equalAverage="0" bottom="0" percent="0" rank="0" text="" dxfId="1">
      <formula>30</formula>
    </cfRule>
  </conditionalFormatting>
  <printOptions headings="false" gridLines="false" gridLinesSet="true" horizontalCentered="true" verticalCentered="false"/>
  <pageMargins left="0.0395833333333333" right="0.0395833333333333" top="0.747916666666667" bottom="0.747916666666667" header="0.511811023622047" footer="0.511811023622047"/>
  <pageSetup paperSize="1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LibreOffice_project/40d1a0e1d5bdf1afaeae24d9ece32bbb00fa66a4</Application>
  <AppVersion>15.0000</AppVersion>
  <Company>Windows XP Titan Ultimate Edition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2016-02-19T20:18:12Z</dcterms:created>
  <dc:creator>Admin</dc:creator>
  <dc:description/>
  <dc:language>en-US</dc:language>
  <cp:lastModifiedBy/>
  <cp:lastPrinted>2020-08-03T23:32:30Z</cp:lastPrinted>
  <dcterms:modified xsi:type="dcterms:W3CDTF">2025-11-26T23:14:36Z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